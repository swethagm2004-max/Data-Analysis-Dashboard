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weth\OneDrive\Desktop\"/>
    </mc:Choice>
  </mc:AlternateContent>
  <xr:revisionPtr revIDLastSave="0" documentId="8_{238E7EC7-3A22-4A55-95C2-AE2522493750}" xr6:coauthVersionLast="47" xr6:coauthVersionMax="47" xr10:uidLastSave="{00000000-0000-0000-0000-000000000000}"/>
  <bookViews>
    <workbookView xWindow="-108" yWindow="-108" windowWidth="23256" windowHeight="12456" firstSheet="1" activeTab="4" xr2:uid="{00000000-000D-0000-FFFF-FFFF00000000}"/>
  </bookViews>
  <sheets>
    <sheet name="Original" sheetId="1" r:id="rId1"/>
    <sheet name="Cleaned" sheetId="2" r:id="rId2"/>
    <sheet name="Functions" sheetId="3" r:id="rId3"/>
    <sheet name="Pivot Table" sheetId="5" r:id="rId4"/>
    <sheet name="DASHBOARD" sheetId="6" r:id="rId5"/>
  </sheets>
  <definedNames>
    <definedName name="Slicer_Account_Type">#N/A</definedName>
    <definedName name="Slicer_Branch">#N/A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D2" i="3"/>
  <c r="B4" i="3"/>
  <c r="C4" i="3" s="1"/>
  <c r="B7" i="3"/>
  <c r="B8" i="3"/>
  <c r="B9" i="3"/>
  <c r="B10" i="3"/>
  <c r="B11" i="3"/>
  <c r="B14" i="3"/>
  <c r="B15" i="3"/>
  <c r="B16" i="3"/>
  <c r="B19" i="3"/>
  <c r="B20" i="3"/>
  <c r="F44" i="5"/>
  <c r="C10" i="5"/>
  <c r="F36" i="5"/>
  <c r="F8" i="5"/>
</calcChain>
</file>

<file path=xl/sharedStrings.xml><?xml version="1.0" encoding="utf-8"?>
<sst xmlns="http://schemas.openxmlformats.org/spreadsheetml/2006/main" count="4123" uniqueCount="565">
  <si>
    <t>Transaction_ID</t>
  </si>
  <si>
    <t>Account_Number</t>
  </si>
  <si>
    <t>Customer_Name</t>
  </si>
  <si>
    <t>Account_Type</t>
  </si>
  <si>
    <t>Transaction_Date</t>
  </si>
  <si>
    <t>Transaction_Type</t>
  </si>
  <si>
    <t>Transaction_Amount</t>
  </si>
  <si>
    <t>Opening_Balance</t>
  </si>
  <si>
    <t>Interest_Rate_%</t>
  </si>
  <si>
    <t>Loan_Amount</t>
  </si>
  <si>
    <t>Tenure_Years</t>
  </si>
  <si>
    <t>EMI</t>
  </si>
  <si>
    <t>Branch</t>
  </si>
  <si>
    <t>GST_%</t>
  </si>
  <si>
    <t>Customer_1</t>
  </si>
  <si>
    <t>Customer_2</t>
  </si>
  <si>
    <t>Customer_3</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</si>
  <si>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</si>
  <si>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</si>
  <si>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</si>
  <si>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</si>
  <si>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</si>
  <si>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</si>
  <si>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</si>
  <si>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</si>
  <si>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</si>
  <si>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</si>
  <si>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</si>
  <si>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</si>
  <si>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</si>
  <si>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</si>
  <si>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</si>
  <si>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</si>
  <si>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</si>
  <si>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</si>
  <si>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</si>
  <si>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</si>
  <si>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</si>
  <si>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</si>
  <si>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</si>
  <si>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</si>
  <si>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</si>
  <si>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</si>
  <si>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</si>
  <si>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</si>
  <si>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</si>
  <si>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</si>
  <si>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</si>
  <si>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</si>
  <si>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</si>
  <si>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</si>
  <si>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</si>
  <si>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</si>
  <si>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</si>
  <si>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</si>
  <si>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</si>
  <si>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</si>
  <si>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</si>
  <si>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</si>
  <si>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</si>
  <si>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</si>
  <si>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</si>
  <si>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</si>
  <si>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</si>
  <si>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</si>
  <si>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</si>
  <si>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</si>
  <si>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</si>
  <si>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</si>
  <si>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</si>
  <si>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</si>
  <si>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</si>
  <si>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</si>
  <si>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</si>
  <si>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</si>
  <si>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</si>
  <si>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</si>
  <si>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</si>
  <si>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</si>
  <si>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</si>
  <si>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</si>
  <si>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</si>
  <si>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</si>
  <si>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</si>
  <si>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</si>
  <si>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</si>
  <si>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</si>
  <si>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</si>
  <si>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</si>
  <si>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</si>
  <si>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</si>
  <si>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</si>
  <si>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</si>
  <si>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</si>
  <si>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</si>
  <si>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</si>
  <si>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</si>
  <si>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</si>
  <si>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</si>
  <si>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</si>
  <si>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</si>
  <si>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</si>
  <si>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</si>
  <si>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</si>
  <si>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</si>
  <si>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</si>
  <si>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</si>
  <si>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</si>
  <si>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</si>
  <si>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</si>
  <si>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</si>
  <si>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</si>
  <si>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</si>
  <si>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</si>
  <si>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</si>
  <si>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</si>
  <si>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</si>
  <si>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</si>
  <si>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</si>
  <si>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</si>
  <si>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</si>
  <si>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</si>
  <si>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</si>
  <si>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</si>
  <si>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</si>
  <si>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</si>
  <si>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</si>
  <si>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</si>
  <si>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</si>
  <si>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</si>
  <si>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</si>
  <si>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</si>
  <si>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</si>
  <si>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</si>
  <si>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</si>
  <si>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</si>
  <si>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</si>
  <si>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</si>
  <si>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</si>
  <si>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</si>
  <si>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</si>
  <si>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</si>
  <si>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</si>
  <si>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</si>
  <si>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</si>
  <si>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</si>
  <si>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</si>
  <si>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</si>
  <si>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</si>
  <si>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</si>
  <si>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</si>
  <si>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</si>
  <si>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</si>
  <si>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</si>
  <si>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</si>
  <si>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</si>
  <si>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</si>
  <si>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</si>
  <si>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</si>
  <si>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</si>
  <si>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</si>
  <si>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</si>
  <si>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</si>
  <si>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</si>
  <si>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</si>
  <si>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</si>
  <si>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</si>
  <si>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</si>
  <si>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</si>
  <si>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</si>
  <si>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</si>
  <si>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</si>
  <si>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</si>
  <si>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</si>
  <si>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</si>
  <si>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</si>
  <si>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</si>
  <si>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</si>
  <si>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</si>
  <si>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</si>
  <si>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</si>
  <si>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</si>
  <si>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</si>
  <si>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</si>
  <si>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</si>
  <si>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</si>
  <si>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</si>
  <si>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</si>
  <si>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</si>
  <si>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</si>
  <si>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</si>
  <si>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</si>
  <si>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</si>
  <si>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</si>
  <si>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</si>
  <si>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</si>
  <si>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</si>
  <si>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</si>
  <si>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</si>
  <si>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</si>
  <si>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</si>
  <si>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</si>
  <si>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</si>
  <si>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</si>
  <si>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</si>
  <si>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</si>
  <si>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</si>
  <si>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</si>
  <si>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</si>
  <si>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</si>
  <si>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</si>
  <si>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</si>
  <si>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</si>
  <si>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</si>
  <si>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</si>
  <si>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</si>
  <si>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</si>
  <si>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</si>
  <si>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</si>
  <si>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</si>
  <si>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</si>
  <si>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</si>
  <si>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</si>
  <si>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</si>
  <si>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</si>
  <si>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</si>
  <si>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</si>
  <si>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</si>
  <si>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</si>
  <si>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</si>
  <si>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</si>
  <si>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</si>
  <si>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</si>
  <si>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</si>
  <si>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</si>
  <si>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</si>
  <si>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</si>
  <si>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</si>
  <si>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</si>
  <si>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</si>
  <si>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</si>
  <si>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</si>
  <si>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</si>
  <si>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</si>
  <si>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</si>
  <si>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</si>
  <si>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</si>
  <si>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</si>
  <si>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</si>
  <si>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</si>
  <si>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</si>
  <si>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</si>
  <si>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</si>
  <si>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</si>
  <si>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</si>
  <si>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</si>
  <si>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</si>
  <si>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</si>
  <si>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</si>
  <si>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</si>
  <si>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</si>
  <si>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</si>
  <si>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</si>
  <si>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</si>
  <si>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</si>
  <si>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</si>
  <si>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</si>
  <si>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</si>
  <si>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</si>
  <si>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</si>
  <si>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</si>
  <si>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</si>
  <si>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</si>
  <si>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</si>
  <si>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</si>
  <si>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</si>
  <si>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</si>
  <si>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</si>
  <si>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</si>
  <si>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</si>
  <si>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</si>
  <si>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</si>
  <si>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</si>
  <si>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</si>
  <si>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</si>
  <si>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</si>
  <si>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</si>
  <si>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</si>
  <si>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</si>
  <si>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</si>
  <si>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</si>
  <si>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</si>
  <si>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</si>
  <si>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</si>
  <si>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</si>
  <si>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</si>
  <si>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</si>
  <si>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</si>
  <si>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</si>
  <si>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</si>
  <si>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</si>
  <si>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</si>
  <si>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</si>
  <si>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</si>
  <si>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</si>
  <si>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</si>
  <si>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</si>
  <si>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</si>
  <si>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</si>
  <si>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</si>
  <si>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</si>
  <si>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</si>
  <si>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</si>
  <si>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</si>
  <si>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</si>
  <si>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</si>
  <si>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</si>
  <si>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</si>
  <si>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</si>
  <si>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</si>
  <si>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</si>
  <si>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</si>
  <si>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</si>
  <si>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</si>
  <si>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</si>
  <si>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</si>
  <si>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</si>
  <si>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</si>
  <si>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</si>
  <si>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</si>
  <si>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</si>
  <si>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</si>
  <si>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</si>
  <si>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</si>
  <si>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</si>
  <si>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</si>
  <si>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</si>
  <si>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</si>
  <si>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</si>
  <si>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</si>
  <si>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</si>
  <si>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</si>
  <si>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</si>
  <si>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</si>
  <si>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</si>
  <si>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</si>
  <si>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</si>
  <si>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</si>
  <si>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</si>
  <si>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</si>
  <si>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</si>
  <si>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</si>
  <si>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</si>
  <si>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</si>
  <si>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</si>
  <si>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</si>
  <si>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</si>
  <si>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</si>
  <si>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</si>
  <si>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</si>
  <si>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</si>
  <si>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</si>
  <si>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</si>
  <si>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</si>
  <si>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</si>
  <si>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</si>
  <si>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</si>
  <si>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</si>
  <si>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</si>
  <si>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</si>
  <si>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</si>
  <si>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</si>
  <si>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</si>
  <si>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</si>
  <si>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</si>
  <si>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</si>
  <si>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</si>
  <si>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</si>
  <si>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</si>
  <si>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</si>
  <si>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</si>
  <si>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</si>
  <si>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</si>
  <si>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</si>
  <si>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</si>
  <si>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</si>
  <si>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</si>
  <si>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</si>
  <si>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</si>
  <si>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</si>
  <si>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</si>
  <si>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</si>
  <si>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</si>
  <si>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</si>
  <si>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</si>
  <si>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</si>
  <si>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</si>
  <si>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</si>
  <si>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</si>
  <si>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</si>
  <si>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</si>
  <si>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</si>
  <si>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</si>
  <si>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</si>
  <si>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</si>
  <si>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</si>
  <si>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</si>
  <si>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</si>
  <si>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</si>
  <si>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</si>
  <si>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</si>
  <si>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</si>
  <si>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</si>
  <si>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</si>
  <si>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</si>
  <si>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</si>
  <si>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</si>
  <si>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</si>
  <si>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</si>
  <si>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</si>
  <si>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</si>
  <si>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</si>
  <si>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</si>
  <si>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</si>
  <si>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</si>
  <si>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</si>
  <si>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</si>
  <si>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</si>
  <si>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</si>
  <si>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</si>
  <si>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</si>
  <si>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</si>
  <si>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</si>
  <si>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</si>
  <si>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</si>
  <si>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</si>
  <si>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</si>
  <si>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</si>
  <si>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</si>
  <si>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</si>
  <si>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</si>
  <si>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</si>
  <si>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</si>
  <si>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</si>
  <si>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</si>
  <si>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</si>
  <si>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</si>
  <si>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</si>
  <si>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</si>
  <si>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</si>
  <si>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</si>
  <si>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</si>
  <si>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</si>
  <si>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</si>
  <si>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</si>
  <si>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</si>
  <si>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</si>
  <si>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</si>
  <si>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</si>
  <si>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</si>
  <si>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</si>
  <si>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</si>
  <si>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</si>
  <si>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</si>
  <si>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</si>
  <si>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</si>
  <si>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</si>
  <si>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</si>
  <si>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</si>
  <si>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</si>
  <si>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</si>
  <si>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</si>
  <si>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</si>
  <si>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</si>
  <si>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</si>
  <si>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</si>
  <si>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</si>
  <si>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</si>
  <si>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</si>
  <si>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</si>
  <si>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</si>
  <si>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</si>
  <si>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</si>
  <si>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</si>
  <si>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</si>
  <si>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</si>
  <si>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</si>
  <si>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</si>
  <si>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</si>
  <si>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</si>
  <si>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</si>
  <si>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</si>
  <si>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</si>
  <si>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</si>
  <si>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</si>
  <si>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</si>
  <si>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</si>
  <si>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</si>
  <si>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</si>
  <si>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</si>
  <si>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</si>
  <si>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</si>
  <si>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</si>
  <si>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</si>
  <si>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</si>
  <si>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</si>
  <si>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</si>
  <si>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</si>
  <si>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</si>
  <si>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</si>
  <si>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</si>
  <si>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</si>
  <si>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</si>
  <si>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</si>
  <si>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Current</t>
  </si>
  <si>
    <t>Loan</t>
  </si>
  <si>
    <t>Savings</t>
  </si>
  <si>
    <t>Credit</t>
  </si>
  <si>
    <t>Debit</t>
  </si>
  <si>
    <t>Hyderabad</t>
  </si>
  <si>
    <t>Mumbai</t>
  </si>
  <si>
    <t>Delhi</t>
  </si>
  <si>
    <t>Bangalore</t>
  </si>
  <si>
    <t>Chennai</t>
  </si>
  <si>
    <t>ACCOUNT NUMBER</t>
  </si>
  <si>
    <t>TRANSACTION MONTH</t>
  </si>
  <si>
    <t>LOAN END YEAR</t>
  </si>
  <si>
    <t>DATE</t>
  </si>
  <si>
    <t>TENURE</t>
  </si>
  <si>
    <t>BRANCH</t>
  </si>
  <si>
    <t>TOTAL TRANSACTION AMOUNT</t>
  </si>
  <si>
    <t>ACCOUNT TYPE</t>
  </si>
  <si>
    <t>AVERAGE LOAN AMOUNT</t>
  </si>
  <si>
    <t>TRANSACTION TYPE</t>
  </si>
  <si>
    <t>COUNT</t>
  </si>
  <si>
    <t>Row Labels</t>
  </si>
  <si>
    <t>Grand Total</t>
  </si>
  <si>
    <t>Sum of Transaction_Amount</t>
  </si>
  <si>
    <t>Chennai has highest total transaction amount</t>
  </si>
  <si>
    <t>Sum of Loan_Amount</t>
  </si>
  <si>
    <t>2024</t>
  </si>
  <si>
    <t>2025</t>
  </si>
  <si>
    <t>Jan</t>
  </si>
  <si>
    <t>Feb</t>
  </si>
  <si>
    <t>Mar</t>
  </si>
  <si>
    <t>Apr</t>
  </si>
  <si>
    <t>May</t>
  </si>
  <si>
    <t>Jun</t>
  </si>
  <si>
    <t>Jul</t>
  </si>
  <si>
    <t>Aug</t>
  </si>
  <si>
    <t>Sep</t>
  </si>
  <si>
    <t>Oct</t>
  </si>
  <si>
    <t>Nov</t>
  </si>
  <si>
    <t>Dec</t>
  </si>
  <si>
    <t>Average of EMI</t>
  </si>
  <si>
    <t>Count of Transaction_Type</t>
  </si>
  <si>
    <t>1.TOTAL TRANSACTION AMOUNT BY BRANCH</t>
  </si>
  <si>
    <t>2.TOTAL LOAN AMOUNT BY ACCOUNT TYPE</t>
  </si>
  <si>
    <t>3.TOTAL LOAN AMOUNT BY ACCOUNT TYPE</t>
  </si>
  <si>
    <t>4.MONTHLY TREND OF TRANSACTION AMOUNT</t>
  </si>
  <si>
    <t>5.AVERAGE EMI BY TENURE PERIODS</t>
  </si>
  <si>
    <t>6.COUNT OF EACH TRANSACTION TYPES</t>
  </si>
  <si>
    <t>7.TOTAL TRANSACTION AMOUNT BY ACCOUNT TYPE</t>
  </si>
  <si>
    <t>(blank)</t>
  </si>
  <si>
    <t>&lt;1/1/2024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</si>
</sst>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11"/>
      <color theme="4" tint="0.59999389629810485"/>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2" borderId="0" xfId="0" applyFont="1" applyFill="1"/>
    <xf numFmtId="0" fontId="0" fillId="2" borderId="0" xfId="0" applyFill="1"/>
    <xf numFmtId="0" fontId="0" fillId="0" borderId="0" xfId="0" applyNumberFormat="1"/>
    <xf numFmtId="0" fontId="2" fillId="3" borderId="0" xfId="0" applyFont="1" applyFill="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[G.Swetha 24PMB156 Excel Project 04-02.xlsx]Pivot Table!PivotTable10</c:name>
    <c:fmtId val="13"/>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t>AVG OF EMI</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Table'!$A$23:$A$43</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(blank)</c:v>
                </c:pt>
              </c:strCache>
            </c:strRef>
          </c:cat>
          <c:val>
            <c:numRef>
              <c:f>'Pivot Table'!$B$23:$B$43</c:f>
              <c:numCache>
                <c:formatCode>General</c:formatCode>
                <c:ptCount val="20"/>
                <c:pt idx="0">
                  <c:v>26033.913157894734</c:v>
                </c:pt>
                <c:pt idx="1">
                  <c:v>22410.360526315792</c:v>
                </c:pt>
                <c:pt idx="2">
                  <c:v>24043.351562499996</c:v>
                </c:pt>
                <c:pt idx="3">
                  <c:v>19365.93285714286</c:v>
                </c:pt>
                <c:pt idx="4">
                  <c:v>20675.220909090913</c:v>
                </c:pt>
                <c:pt idx="5">
                  <c:v>25342.913666666671</c:v>
                </c:pt>
                <c:pt idx="6">
                  <c:v>24663.481052631578</c:v>
                </c:pt>
                <c:pt idx="7">
                  <c:v>23872.098205128204</c:v>
                </c:pt>
                <c:pt idx="8">
                  <c:v>26953.059047619052</c:v>
                </c:pt>
                <c:pt idx="9">
                  <c:v>26777.543076923073</c:v>
                </c:pt>
                <c:pt idx="10">
                  <c:v>27341.25863636364</c:v>
                </c:pt>
                <c:pt idx="11">
                  <c:v>22600.227037037032</c:v>
                </c:pt>
                <c:pt idx="12">
                  <c:v>21844.751891891894</c:v>
                </c:pt>
                <c:pt idx="13">
                  <c:v>31851.617916666666</c:v>
                </c:pt>
                <c:pt idx="14">
                  <c:v>23642.452333333331</c:v>
                </c:pt>
                <c:pt idx="15">
                  <c:v>25635.366666666665</c:v>
                </c:pt>
                <c:pt idx="16">
                  <c:v>26392.651578947367</c:v>
                </c:pt>
                <c:pt idx="17">
                  <c:v>23763.388749999998</c:v>
                </c:pt>
                <c:pt idx="18">
                  <c:v>26639.478500000005</c:v>
                </c:pt>
              </c:numCache>
            </c:numRef>
          </c:val>
          <c:extLst>
            <c:ext xmlns:c16="http://schemas.microsoft.com/office/drawing/2014/chart" uri="{C3380CC4-5D6E-409C-BE32-E72D297353CC}">
              <c16:uniqueId val="{00000000-0145-450D-BBDA-B8E10C27BCDD}"/>
            </c:ext>
          </c:extLst>
        </c:ser>
        <c:dLbls>
          <c:showLegendKey val="0"/>
          <c:showVal val="0"/>
          <c:showCatName val="0"/>
          <c:showSerName val="0"/>
          <c:showPercent val="0"/>
          <c:showBubbleSize val="0"/>
        </c:dLbls>
        <c:gapWidth val="355"/>
        <c:overlap val="-70"/>
        <c:axId val="1146717071"/>
        <c:axId val="1146727151"/>
      </c:barChart>
      <c:catAx>
        <c:axId val="114671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727151"/>
        <c:crosses val="autoZero"/>
        <c:auto val="1"/>
        <c:lblAlgn val="ctr"/>
        <c:lblOffset val="100"/>
        <c:noMultiLvlLbl val="0"/>
      </c:catAx>
      <c:valAx>
        <c:axId val="11467271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71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[G.Swetha 24PMB156 Excel Project 04-02.xlsx]Pivot Table!PivotTable8</c:name>
    <c:fmtId val="15"/>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IN"/>
              <a:t>Total Transaction Amount</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32-4CD5-8146-90C391BB8B73}"/>
              </c:ext>
            </c:extLst>
          </c:dPt>
          <c:dPt>
            <c:idx val="1"/>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32-4CD5-8146-90C391BB8B73}"/>
              </c:ext>
            </c:extLst>
          </c:dPt>
          <c:dPt>
            <c:idx val="2"/>
            <c:bubble3D val="0"/>
            <c:spPr>
              <a:solidFill>
                <a:schemeClr val="accent1">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32-4CD5-8146-90C391BB8B73}"/>
              </c:ext>
            </c:extLst>
          </c:dPt>
          <c:dPt>
            <c:idx val="3"/>
            <c:bubble3D val="0"/>
            <c:spPr>
              <a:solidFill>
                <a:schemeClr val="accent1">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32-4CD5-8146-90C391BB8B73}"/>
              </c:ext>
            </c:extLst>
          </c:dPt>
          <c:cat>
            <c:strRef>
              <c:f>'Pivot Table'!$D$4:$D$8</c:f>
              <c:strCache>
                <c:ptCount val="4"/>
                <c:pt idx="0">
                  <c:v>Current</c:v>
                </c:pt>
                <c:pt idx="1">
                  <c:v>Loan</c:v>
                </c:pt>
                <c:pt idx="2">
                  <c:v>Savings</c:v>
                </c:pt>
                <c:pt idx="3">
                  <c:v>(blank)</c:v>
                </c:pt>
              </c:strCache>
            </c:strRef>
          </c:cat>
          <c:val>
            <c:numRef>
              <c:f>'Pivot Table'!$E$4:$E$8</c:f>
              <c:numCache>
                <c:formatCode>General</c:formatCode>
                <c:ptCount val="4"/>
                <c:pt idx="0">
                  <c:v>83452297.789999992</c:v>
                </c:pt>
                <c:pt idx="1">
                  <c:v>90377161.629999995</c:v>
                </c:pt>
                <c:pt idx="2">
                  <c:v>87743190.089999989</c:v>
                </c:pt>
              </c:numCache>
            </c:numRef>
          </c:val>
          <c:extLst>
            <c:ext xmlns:c16="http://schemas.microsoft.com/office/drawing/2014/chart" uri="{C3380CC4-5D6E-409C-BE32-E72D297353CC}">
              <c16:uniqueId val="{00000008-6032-4CD5-8146-90C391BB8B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132191</xdr:colOff>
      <xdr:row>0</xdr:row>
      <xdr:rowOff>2319</xdr:rowOff>
    </xdr:from>
    <xdr:to>
      <xdr:col>2</xdr:col>
      <xdr:colOff>490331</xdr:colOff>
      <xdr:row>5</xdr:row>
      <xdr:rowOff>129098</xdr:rowOff>
    </xdr:to>
    <xdr:sp macro="" textlink="">
      <xdr:nvSpPr>
        <xdr:cNvPr id="2" name="Rectangle: Rounded Corners 1">
          <a:extLst>
            <a:ext uri="{FF2B5EF4-FFF2-40B4-BE49-F238E27FC236}">
              <a16:creationId xmlns:a16="http://schemas.microsoft.com/office/drawing/2014/main" id="{7C8DE855-8010-4FF7-A397-6BD6E75F4AD8}"/>
            </a:ext>
          </a:extLst>
        </xdr:cNvPr>
        <xdr:cNvSpPr/>
      </xdr:nvSpPr>
      <xdr:spPr>
        <a:xfrm>
          <a:off x="132191" y="2319"/>
          <a:ext cx="1577340" cy="1041179"/>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76973</xdr:colOff>
      <xdr:row>6</xdr:row>
      <xdr:rowOff>32025</xdr:rowOff>
    </xdr:from>
    <xdr:to>
      <xdr:col>4</xdr:col>
      <xdr:colOff>265044</xdr:colOff>
      <xdr:row>40</xdr:row>
      <xdr:rowOff>22086</xdr:rowOff>
    </xdr:to>
    <xdr:sp macro="" textlink="">
      <xdr:nvSpPr>
        <xdr:cNvPr id="3" name="Rectangle: Rounded Corners 2">
          <a:extLst>
            <a:ext uri="{FF2B5EF4-FFF2-40B4-BE49-F238E27FC236}">
              <a16:creationId xmlns:a16="http://schemas.microsoft.com/office/drawing/2014/main" id="{7FDC9E86-B7C5-4A2F-A874-3C802F85D10B}"/>
            </a:ext>
          </a:extLst>
        </xdr:cNvPr>
        <xdr:cNvSpPr/>
      </xdr:nvSpPr>
      <xdr:spPr>
        <a:xfrm>
          <a:off x="76973" y="1129305"/>
          <a:ext cx="2626471" cy="6207981"/>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563880</xdr:colOff>
      <xdr:row>0</xdr:row>
      <xdr:rowOff>78498</xdr:rowOff>
    </xdr:from>
    <xdr:to>
      <xdr:col>21</xdr:col>
      <xdr:colOff>338667</xdr:colOff>
      <xdr:row>5</xdr:row>
      <xdr:rowOff>96762</xdr:rowOff>
    </xdr:to>
    <xdr:sp macro="" textlink="">
      <xdr:nvSpPr>
        <xdr:cNvPr id="4" name="Rectangle: Rounded Corners 3">
          <a:extLst>
            <a:ext uri="{FF2B5EF4-FFF2-40B4-BE49-F238E27FC236}">
              <a16:creationId xmlns:a16="http://schemas.microsoft.com/office/drawing/2014/main" id="{EFD430ED-E21C-4180-8009-7AEE032940EF}"/>
            </a:ext>
          </a:extLst>
        </xdr:cNvPr>
        <xdr:cNvSpPr/>
      </xdr:nvSpPr>
      <xdr:spPr>
        <a:xfrm>
          <a:off x="1773404" y="78498"/>
          <a:ext cx="11265263" cy="925407"/>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320261</xdr:colOff>
      <xdr:row>6</xdr:row>
      <xdr:rowOff>11041</xdr:rowOff>
    </xdr:from>
    <xdr:to>
      <xdr:col>16</xdr:col>
      <xdr:colOff>508000</xdr:colOff>
      <xdr:row>16</xdr:row>
      <xdr:rowOff>88348</xdr:rowOff>
    </xdr:to>
    <xdr:sp macro="" textlink="">
      <xdr:nvSpPr>
        <xdr:cNvPr id="5" name="Rectangle: Rounded Corners 4">
          <a:extLst>
            <a:ext uri="{FF2B5EF4-FFF2-40B4-BE49-F238E27FC236}">
              <a16:creationId xmlns:a16="http://schemas.microsoft.com/office/drawing/2014/main" id="{E2C06B16-E6E7-45B6-9B4B-0E1138D20EF1}"/>
            </a:ext>
          </a:extLst>
        </xdr:cNvPr>
        <xdr:cNvSpPr/>
      </xdr:nvSpPr>
      <xdr:spPr>
        <a:xfrm>
          <a:off x="7635461" y="1108321"/>
          <a:ext cx="2626139" cy="1906107"/>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b="1"/>
        </a:p>
      </xdr:txBody>
    </xdr:sp>
    <xdr:clientData/>
  </xdr:twoCellAnchor>
  <xdr:twoCellAnchor>
    <xdr:from>
      <xdr:col>2</xdr:col>
      <xdr:colOff>592666</xdr:colOff>
      <xdr:row>0</xdr:row>
      <xdr:rowOff>145143</xdr:rowOff>
    </xdr:from>
    <xdr:to>
      <xdr:col>18</xdr:col>
      <xdr:colOff>441960</xdr:colOff>
      <xdr:row>4</xdr:row>
      <xdr:rowOff>175260</xdr:rowOff>
    </xdr:to>
    <xdr:sp macro="" textlink="">
      <xdr:nvSpPr>
        <xdr:cNvPr id="6" name="TextBox 5">
          <a:extLst>
            <a:ext uri="{FF2B5EF4-FFF2-40B4-BE49-F238E27FC236}">
              <a16:creationId xmlns:a16="http://schemas.microsoft.com/office/drawing/2014/main" id="{749B2060-4EB9-436F-B2CD-F4225983FC30}"/>
            </a:ext>
          </a:extLst>
        </xdr:cNvPr>
        <xdr:cNvSpPr txBox="1"/>
      </xdr:nvSpPr>
      <xdr:spPr>
        <a:xfrm>
          <a:off x="1802190" y="145143"/>
          <a:ext cx="9525484" cy="75583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lgerian" panose="04020705040A02060702" pitchFamily="82" charset="0"/>
            </a:rPr>
            <a:t>FINANCE</a:t>
          </a:r>
          <a:r>
            <a:rPr lang="en-IN" sz="4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lgerian" panose="04020705040A02060702" pitchFamily="82" charset="0"/>
            </a:rPr>
            <a:t> DASHBOARD</a:t>
          </a:r>
          <a:endParaRPr lang="en-IN"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lgerian" panose="04020705040A02060702" pitchFamily="82" charset="0"/>
          </a:endParaRPr>
        </a:p>
      </xdr:txBody>
    </xdr:sp>
    <xdr:clientData/>
  </xdr:twoCellAnchor>
  <xdr:twoCellAnchor editAs="oneCell">
    <xdr:from>
      <xdr:col>0</xdr:col>
      <xdr:colOff>403860</xdr:colOff>
      <xdr:row>0</xdr:row>
      <xdr:rowOff>99060</xdr:rowOff>
    </xdr:from>
    <xdr:to>
      <xdr:col>2</xdr:col>
      <xdr:colOff>99060</xdr:colOff>
      <xdr:row>5</xdr:row>
      <xdr:rowOff>99060</xdr:rowOff>
    </xdr:to>
    <xdr:pic>
      <xdr:nvPicPr>
        <xdr:cNvPr id="7" name="Graphic 6" descr="Bank with solid fill">
          <a:extLst>
            <a:ext uri="{FF2B5EF4-FFF2-40B4-BE49-F238E27FC236}">
              <a16:creationId xmlns:a16="http://schemas.microsoft.com/office/drawing/2014/main" id="{234E9B4F-672B-41BD-9D7F-03633E470E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860" y="99060"/>
          <a:ext cx="914400" cy="914400"/>
        </a:xfrm>
        <a:prstGeom prst="rect">
          <a:avLst/>
        </a:prstGeom>
      </xdr:spPr>
    </xdr:pic>
    <xdr:clientData/>
  </xdr:twoCellAnchor>
  <xdr:twoCellAnchor>
    <xdr:from>
      <xdr:col>12</xdr:col>
      <xdr:colOff>203051</xdr:colOff>
      <xdr:row>7</xdr:row>
      <xdr:rowOff>170290</xdr:rowOff>
    </xdr:from>
    <xdr:to>
      <xdr:col>15</xdr:col>
      <xdr:colOff>286871</xdr:colOff>
      <xdr:row>11</xdr:row>
      <xdr:rowOff>33130</xdr:rowOff>
    </xdr:to>
    <xdr:sp macro="" textlink="">
      <xdr:nvSpPr>
        <xdr:cNvPr id="8" name="TextBox 7">
          <a:extLst>
            <a:ext uri="{FF2B5EF4-FFF2-40B4-BE49-F238E27FC236}">
              <a16:creationId xmlns:a16="http://schemas.microsoft.com/office/drawing/2014/main" id="{44D3397B-5AE3-4F26-A9BC-CFDC0D760EEB}"/>
            </a:ext>
          </a:extLst>
        </xdr:cNvPr>
        <xdr:cNvSpPr txBox="1"/>
      </xdr:nvSpPr>
      <xdr:spPr>
        <a:xfrm>
          <a:off x="7518251" y="1450450"/>
          <a:ext cx="19126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12</xdr:col>
      <xdr:colOff>397564</xdr:colOff>
      <xdr:row>12</xdr:row>
      <xdr:rowOff>66260</xdr:rowOff>
    </xdr:from>
    <xdr:to>
      <xdr:col>15</xdr:col>
      <xdr:colOff>375477</xdr:colOff>
      <xdr:row>15</xdr:row>
      <xdr:rowOff>99391</xdr:rowOff>
    </xdr:to>
    <xdr:sp macro="" textlink="">
      <xdr:nvSpPr>
        <xdr:cNvPr id="9" name="TextBox 8">
          <a:extLst>
            <a:ext uri="{FF2B5EF4-FFF2-40B4-BE49-F238E27FC236}">
              <a16:creationId xmlns:a16="http://schemas.microsoft.com/office/drawing/2014/main" id="{8C0247A0-24E0-497A-A8B2-A86111AD0E10}"/>
            </a:ext>
          </a:extLst>
        </xdr:cNvPr>
        <xdr:cNvSpPr txBox="1"/>
      </xdr:nvSpPr>
      <xdr:spPr>
        <a:xfrm>
          <a:off x="7712764" y="2260820"/>
          <a:ext cx="1806713" cy="581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4</xdr:col>
      <xdr:colOff>551327</xdr:colOff>
      <xdr:row>6</xdr:row>
      <xdr:rowOff>109367</xdr:rowOff>
    </xdr:from>
    <xdr:to>
      <xdr:col>8</xdr:col>
      <xdr:colOff>265043</xdr:colOff>
      <xdr:row>16</xdr:row>
      <xdr:rowOff>121479</xdr:rowOff>
    </xdr:to>
    <xdr:sp macro="" textlink="">
      <xdr:nvSpPr>
        <xdr:cNvPr id="10" name="Rectangle: Rounded Corners 9">
          <a:extLst>
            <a:ext uri="{FF2B5EF4-FFF2-40B4-BE49-F238E27FC236}">
              <a16:creationId xmlns:a16="http://schemas.microsoft.com/office/drawing/2014/main" id="{983B20A3-9D3B-4ADA-B1CB-12CDD44BDBA7}"/>
            </a:ext>
          </a:extLst>
        </xdr:cNvPr>
        <xdr:cNvSpPr/>
      </xdr:nvSpPr>
      <xdr:spPr>
        <a:xfrm>
          <a:off x="2970375" y="1197938"/>
          <a:ext cx="2132763" cy="1826398"/>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22087</xdr:colOff>
      <xdr:row>7</xdr:row>
      <xdr:rowOff>184757</xdr:rowOff>
    </xdr:from>
    <xdr:to>
      <xdr:col>17</xdr:col>
      <xdr:colOff>209826</xdr:colOff>
      <xdr:row>10</xdr:row>
      <xdr:rowOff>78078</xdr:rowOff>
    </xdr:to>
    <xdr:sp macro="" textlink="">
      <xdr:nvSpPr>
        <xdr:cNvPr id="11" name="TextBox 10">
          <a:extLst>
            <a:ext uri="{FF2B5EF4-FFF2-40B4-BE49-F238E27FC236}">
              <a16:creationId xmlns:a16="http://schemas.microsoft.com/office/drawing/2014/main" id="{379D38BF-DD1F-4D86-AFB4-C1470F892382}"/>
            </a:ext>
          </a:extLst>
        </xdr:cNvPr>
        <xdr:cNvSpPr txBox="1"/>
      </xdr:nvSpPr>
      <xdr:spPr>
        <a:xfrm>
          <a:off x="7337287" y="1464917"/>
          <a:ext cx="3235739" cy="441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Times New Roman" panose="02020603050405020304" pitchFamily="18" charset="0"/>
              <a:cs typeface="Times New Roman" panose="02020603050405020304" pitchFamily="18" charset="0"/>
            </a:rPr>
            <a:t>Total</a:t>
          </a:r>
          <a:r>
            <a:rPr lang="en-IN" sz="2000" b="1" baseline="0">
              <a:latin typeface="Times New Roman" panose="02020603050405020304" pitchFamily="18" charset="0"/>
              <a:cs typeface="Times New Roman" panose="02020603050405020304" pitchFamily="18" charset="0"/>
            </a:rPr>
            <a:t> Loan Amount</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13</xdr:col>
      <xdr:colOff>56269</xdr:colOff>
      <xdr:row>10</xdr:row>
      <xdr:rowOff>48381</xdr:rowOff>
    </xdr:from>
    <xdr:to>
      <xdr:col>16</xdr:col>
      <xdr:colOff>299226</xdr:colOff>
      <xdr:row>15</xdr:row>
      <xdr:rowOff>36284</xdr:rowOff>
    </xdr:to>
    <xdr:sp macro="" textlink="">
      <xdr:nvSpPr>
        <xdr:cNvPr id="12" name="TextBox 11">
          <a:extLst>
            <a:ext uri="{FF2B5EF4-FFF2-40B4-BE49-F238E27FC236}">
              <a16:creationId xmlns:a16="http://schemas.microsoft.com/office/drawing/2014/main" id="{A94F5B69-B73D-4A5D-8B0A-7799F55DE163}"/>
            </a:ext>
          </a:extLst>
        </xdr:cNvPr>
        <xdr:cNvSpPr txBox="1"/>
      </xdr:nvSpPr>
      <xdr:spPr>
        <a:xfrm>
          <a:off x="7918174" y="1862667"/>
          <a:ext cx="2057242" cy="895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Times New Roman" panose="02020603050405020304" pitchFamily="18" charset="0"/>
              <a:ea typeface="+mn-ea"/>
              <a:cs typeface="Times New Roman" panose="02020603050405020304" pitchFamily="18" charset="0"/>
            </a:rPr>
            <a:t>261572649.5</a:t>
          </a:r>
          <a:r>
            <a:rPr lang="en-IN" sz="6000">
              <a:effectLst/>
              <a:latin typeface="Times New Roman" panose="02020603050405020304" pitchFamily="18" charset="0"/>
              <a:cs typeface="Times New Roman" panose="02020603050405020304" pitchFamily="18" charset="0"/>
            </a:rPr>
            <a:t>  </a:t>
          </a:r>
          <a:endParaRPr lang="en-IN" sz="6000">
            <a:latin typeface="Times New Roman" panose="02020603050405020304" pitchFamily="18" charset="0"/>
            <a:cs typeface="Times New Roman" panose="02020603050405020304" pitchFamily="18" charset="0"/>
          </a:endParaRPr>
        </a:p>
      </xdr:txBody>
    </xdr:sp>
    <xdr:clientData/>
  </xdr:twoCellAnchor>
  <xdr:twoCellAnchor>
    <xdr:from>
      <xdr:col>12</xdr:col>
      <xdr:colOff>246269</xdr:colOff>
      <xdr:row>7</xdr:row>
      <xdr:rowOff>145553</xdr:rowOff>
    </xdr:from>
    <xdr:to>
      <xdr:col>14</xdr:col>
      <xdr:colOff>552174</xdr:colOff>
      <xdr:row>8</xdr:row>
      <xdr:rowOff>99391</xdr:rowOff>
    </xdr:to>
    <xdr:sp macro="" textlink="">
      <xdr:nvSpPr>
        <xdr:cNvPr id="13" name="TextBox 12">
          <a:extLst>
            <a:ext uri="{FF2B5EF4-FFF2-40B4-BE49-F238E27FC236}">
              <a16:creationId xmlns:a16="http://schemas.microsoft.com/office/drawing/2014/main" id="{14AFE391-BF1F-4216-8BE9-1BF9DA7A4269}"/>
            </a:ext>
          </a:extLst>
        </xdr:cNvPr>
        <xdr:cNvSpPr txBox="1"/>
      </xdr:nvSpPr>
      <xdr:spPr>
        <a:xfrm>
          <a:off x="7561469" y="1425713"/>
          <a:ext cx="1525105" cy="136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anose="02020603050405020304" pitchFamily="18" charset="0"/>
              <a:cs typeface="Times New Roman" panose="02020603050405020304" pitchFamily="18" charset="0"/>
            </a:rPr>
            <a:t>   </a:t>
          </a:r>
        </a:p>
      </xdr:txBody>
    </xdr:sp>
    <xdr:clientData/>
  </xdr:twoCellAnchor>
  <xdr:twoCellAnchor>
    <xdr:from>
      <xdr:col>5</xdr:col>
      <xdr:colOff>132520</xdr:colOff>
      <xdr:row>7</xdr:row>
      <xdr:rowOff>165652</xdr:rowOff>
    </xdr:from>
    <xdr:to>
      <xdr:col>8</xdr:col>
      <xdr:colOff>231912</xdr:colOff>
      <xdr:row>11</xdr:row>
      <xdr:rowOff>176696</xdr:rowOff>
    </xdr:to>
    <xdr:sp macro="" textlink="">
      <xdr:nvSpPr>
        <xdr:cNvPr id="14" name="TextBox 13">
          <a:extLst>
            <a:ext uri="{FF2B5EF4-FFF2-40B4-BE49-F238E27FC236}">
              <a16:creationId xmlns:a16="http://schemas.microsoft.com/office/drawing/2014/main" id="{3E54EAA9-AD9D-4EB2-94D6-1D321C87E79B}"/>
            </a:ext>
          </a:extLst>
        </xdr:cNvPr>
        <xdr:cNvSpPr txBox="1"/>
      </xdr:nvSpPr>
      <xdr:spPr>
        <a:xfrm>
          <a:off x="3180520" y="1445812"/>
          <a:ext cx="1928192" cy="74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  </a:t>
          </a:r>
          <a:r>
            <a:rPr lang="en-IN" sz="1800" b="1">
              <a:latin typeface="Times New Roman" panose="02020603050405020304" pitchFamily="18" charset="0"/>
              <a:cs typeface="Times New Roman" panose="02020603050405020304" pitchFamily="18" charset="0"/>
            </a:rPr>
            <a:t>Count</a:t>
          </a:r>
          <a:r>
            <a:rPr lang="en-IN" sz="1800" b="1" baseline="0">
              <a:latin typeface="Times New Roman" panose="02020603050405020304" pitchFamily="18" charset="0"/>
              <a:cs typeface="Times New Roman" panose="02020603050405020304" pitchFamily="18" charset="0"/>
            </a:rPr>
            <a:t> of each Tranaction Type</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5</xdr:col>
      <xdr:colOff>520094</xdr:colOff>
      <xdr:row>11</xdr:row>
      <xdr:rowOff>36287</xdr:rowOff>
    </xdr:from>
    <xdr:to>
      <xdr:col>7</xdr:col>
      <xdr:colOff>508000</xdr:colOff>
      <xdr:row>15</xdr:row>
      <xdr:rowOff>12096</xdr:rowOff>
    </xdr:to>
    <xdr:sp macro="" textlink="">
      <xdr:nvSpPr>
        <xdr:cNvPr id="15" name="TextBox 14">
          <a:extLst>
            <a:ext uri="{FF2B5EF4-FFF2-40B4-BE49-F238E27FC236}">
              <a16:creationId xmlns:a16="http://schemas.microsoft.com/office/drawing/2014/main" id="{02BD38EB-D672-4498-827F-AE3D233B4817}"/>
            </a:ext>
          </a:extLst>
        </xdr:cNvPr>
        <xdr:cNvSpPr txBox="1"/>
      </xdr:nvSpPr>
      <xdr:spPr>
        <a:xfrm>
          <a:off x="3543904" y="2032001"/>
          <a:ext cx="1197429" cy="701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500</a:t>
          </a:r>
          <a:r>
            <a:rPr lang="en-IN" sz="2800" b="1">
              <a:effectLst/>
            </a:rPr>
            <a:t> </a:t>
          </a:r>
          <a:r>
            <a:rPr lang="en-IN" sz="4000" b="1">
              <a:effectLst/>
            </a:rPr>
            <a:t> </a:t>
          </a:r>
          <a:endParaRPr lang="en-IN" sz="4000" b="1"/>
        </a:p>
      </xdr:txBody>
    </xdr:sp>
    <xdr:clientData/>
  </xdr:twoCellAnchor>
  <xdr:twoCellAnchor>
    <xdr:from>
      <xdr:col>8</xdr:col>
      <xdr:colOff>427641</xdr:colOff>
      <xdr:row>6</xdr:row>
      <xdr:rowOff>85071</xdr:rowOff>
    </xdr:from>
    <xdr:to>
      <xdr:col>12</xdr:col>
      <xdr:colOff>141356</xdr:colOff>
      <xdr:row>16</xdr:row>
      <xdr:rowOff>97183</xdr:rowOff>
    </xdr:to>
    <xdr:sp macro="" textlink="">
      <xdr:nvSpPr>
        <xdr:cNvPr id="18" name="Rectangle: Rounded Corners 17">
          <a:extLst>
            <a:ext uri="{FF2B5EF4-FFF2-40B4-BE49-F238E27FC236}">
              <a16:creationId xmlns:a16="http://schemas.microsoft.com/office/drawing/2014/main" id="{573CF9A2-FFC7-4919-8BEE-27B5E80535B3}"/>
            </a:ext>
          </a:extLst>
        </xdr:cNvPr>
        <xdr:cNvSpPr/>
      </xdr:nvSpPr>
      <xdr:spPr>
        <a:xfrm>
          <a:off x="5304441" y="1182351"/>
          <a:ext cx="2152115" cy="1840912"/>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130314</xdr:colOff>
      <xdr:row>5</xdr:row>
      <xdr:rowOff>185528</xdr:rowOff>
    </xdr:from>
    <xdr:to>
      <xdr:col>21</xdr:col>
      <xdr:colOff>318053</xdr:colOff>
      <xdr:row>16</xdr:row>
      <xdr:rowOff>75096</xdr:rowOff>
    </xdr:to>
    <xdr:sp macro="" textlink="">
      <xdr:nvSpPr>
        <xdr:cNvPr id="19" name="Rectangle: Rounded Corners 18">
          <a:extLst>
            <a:ext uri="{FF2B5EF4-FFF2-40B4-BE49-F238E27FC236}">
              <a16:creationId xmlns:a16="http://schemas.microsoft.com/office/drawing/2014/main" id="{F6687A12-AED2-49E7-9CE3-2AD0A25AFAEF}"/>
            </a:ext>
          </a:extLst>
        </xdr:cNvPr>
        <xdr:cNvSpPr/>
      </xdr:nvSpPr>
      <xdr:spPr>
        <a:xfrm>
          <a:off x="10493514" y="1099928"/>
          <a:ext cx="2626139" cy="1901248"/>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393148</xdr:colOff>
      <xdr:row>17</xdr:row>
      <xdr:rowOff>161232</xdr:rowOff>
    </xdr:from>
    <xdr:to>
      <xdr:col>12</xdr:col>
      <xdr:colOff>309217</xdr:colOff>
      <xdr:row>38</xdr:row>
      <xdr:rowOff>88348</xdr:rowOff>
    </xdr:to>
    <xdr:sp macro="" textlink="">
      <xdr:nvSpPr>
        <xdr:cNvPr id="20" name="Rectangle: Rounded Corners 19">
          <a:extLst>
            <a:ext uri="{FF2B5EF4-FFF2-40B4-BE49-F238E27FC236}">
              <a16:creationId xmlns:a16="http://schemas.microsoft.com/office/drawing/2014/main" id="{5FBC88DA-8EE9-43F3-B18B-495345D5A175}"/>
            </a:ext>
          </a:extLst>
        </xdr:cNvPr>
        <xdr:cNvSpPr/>
      </xdr:nvSpPr>
      <xdr:spPr>
        <a:xfrm>
          <a:off x="2812196" y="3245518"/>
          <a:ext cx="4754164" cy="3737116"/>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b="1"/>
        </a:p>
      </xdr:txBody>
    </xdr:sp>
    <xdr:clientData/>
  </xdr:twoCellAnchor>
  <xdr:twoCellAnchor>
    <xdr:from>
      <xdr:col>13</xdr:col>
      <xdr:colOff>33132</xdr:colOff>
      <xdr:row>18</xdr:row>
      <xdr:rowOff>1</xdr:rowOff>
    </xdr:from>
    <xdr:to>
      <xdr:col>20</xdr:col>
      <xdr:colOff>554993</xdr:colOff>
      <xdr:row>38</xdr:row>
      <xdr:rowOff>115218</xdr:rowOff>
    </xdr:to>
    <xdr:sp macro="" textlink="">
      <xdr:nvSpPr>
        <xdr:cNvPr id="21" name="Rectangle: Rounded Corners 20">
          <a:extLst>
            <a:ext uri="{FF2B5EF4-FFF2-40B4-BE49-F238E27FC236}">
              <a16:creationId xmlns:a16="http://schemas.microsoft.com/office/drawing/2014/main" id="{24B5473B-9207-441B-BAD4-E0BE5DBE0330}"/>
            </a:ext>
          </a:extLst>
        </xdr:cNvPr>
        <xdr:cNvSpPr/>
      </xdr:nvSpPr>
      <xdr:spPr>
        <a:xfrm>
          <a:off x="7957932" y="3291841"/>
          <a:ext cx="4789061" cy="3772817"/>
        </a:xfrm>
        <a:prstGeom prst="roundRect">
          <a:avLst/>
        </a:prstGeom>
        <a:ln>
          <a:noFill/>
        </a:ln>
        <a:effectLst>
          <a:innerShdw blurRad="63500" dist="50800" dir="13500000">
            <a:prstClr val="black">
              <a:alpha val="50000"/>
            </a:prstClr>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b="1"/>
        </a:p>
      </xdr:txBody>
    </xdr:sp>
    <xdr:clientData/>
  </xdr:twoCellAnchor>
  <xdr:twoCellAnchor>
    <xdr:from>
      <xdr:col>8</xdr:col>
      <xdr:colOff>495904</xdr:colOff>
      <xdr:row>7</xdr:row>
      <xdr:rowOff>72571</xdr:rowOff>
    </xdr:from>
    <xdr:to>
      <xdr:col>12</xdr:col>
      <xdr:colOff>241905</xdr:colOff>
      <xdr:row>11</xdr:row>
      <xdr:rowOff>181428</xdr:rowOff>
    </xdr:to>
    <xdr:sp macro="" textlink="">
      <xdr:nvSpPr>
        <xdr:cNvPr id="24" name="TextBox 23">
          <a:extLst>
            <a:ext uri="{FF2B5EF4-FFF2-40B4-BE49-F238E27FC236}">
              <a16:creationId xmlns:a16="http://schemas.microsoft.com/office/drawing/2014/main" id="{4D8E091D-2D3C-DAF4-2C66-E77549D0D95F}"/>
            </a:ext>
          </a:extLst>
        </xdr:cNvPr>
        <xdr:cNvSpPr txBox="1"/>
      </xdr:nvSpPr>
      <xdr:spPr>
        <a:xfrm>
          <a:off x="5333999" y="1342571"/>
          <a:ext cx="2165049" cy="834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Total Transaction Amount</a:t>
          </a:r>
        </a:p>
      </xdr:txBody>
    </xdr:sp>
    <xdr:clientData/>
  </xdr:twoCellAnchor>
  <xdr:twoCellAnchor>
    <xdr:from>
      <xdr:col>8</xdr:col>
      <xdr:colOff>568476</xdr:colOff>
      <xdr:row>12</xdr:row>
      <xdr:rowOff>84667</xdr:rowOff>
    </xdr:from>
    <xdr:to>
      <xdr:col>12</xdr:col>
      <xdr:colOff>60476</xdr:colOff>
      <xdr:row>14</xdr:row>
      <xdr:rowOff>120952</xdr:rowOff>
    </xdr:to>
    <xdr:sp macro="" textlink="">
      <xdr:nvSpPr>
        <xdr:cNvPr id="25" name="TextBox 24">
          <a:extLst>
            <a:ext uri="{FF2B5EF4-FFF2-40B4-BE49-F238E27FC236}">
              <a16:creationId xmlns:a16="http://schemas.microsoft.com/office/drawing/2014/main" id="{F95C337B-461D-4590-2A89-FBB9C065E615}"/>
            </a:ext>
          </a:extLst>
        </xdr:cNvPr>
        <xdr:cNvSpPr txBox="1"/>
      </xdr:nvSpPr>
      <xdr:spPr>
        <a:xfrm>
          <a:off x="5406571" y="2261810"/>
          <a:ext cx="1911048" cy="399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2494153.85</a:t>
          </a:r>
          <a:r>
            <a:rPr lang="en-IN" sz="2000" b="1">
              <a:effectLst/>
            </a:rPr>
            <a:t> </a:t>
          </a:r>
          <a:endParaRPr lang="en-IN" sz="2000" b="1"/>
        </a:p>
      </xdr:txBody>
    </xdr:sp>
    <xdr:clientData/>
  </xdr:twoCellAnchor>
  <xdr:twoCellAnchor>
    <xdr:from>
      <xdr:col>17</xdr:col>
      <xdr:colOff>205619</xdr:colOff>
      <xdr:row>7</xdr:row>
      <xdr:rowOff>108857</xdr:rowOff>
    </xdr:from>
    <xdr:to>
      <xdr:col>21</xdr:col>
      <xdr:colOff>302380</xdr:colOff>
      <xdr:row>12</xdr:row>
      <xdr:rowOff>48381</xdr:rowOff>
    </xdr:to>
    <xdr:sp macro="" textlink="">
      <xdr:nvSpPr>
        <xdr:cNvPr id="26" name="TextBox 25">
          <a:extLst>
            <a:ext uri="{FF2B5EF4-FFF2-40B4-BE49-F238E27FC236}">
              <a16:creationId xmlns:a16="http://schemas.microsoft.com/office/drawing/2014/main" id="{5465B21D-75A0-B482-4F0A-2293E3F08910}"/>
            </a:ext>
          </a:extLst>
        </xdr:cNvPr>
        <xdr:cNvSpPr txBox="1"/>
      </xdr:nvSpPr>
      <xdr:spPr>
        <a:xfrm>
          <a:off x="10486571" y="1378857"/>
          <a:ext cx="2515809" cy="846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a:solidFill>
                <a:schemeClr val="dk1"/>
              </a:solidFill>
              <a:effectLst/>
              <a:latin typeface="Times New Roman" panose="02020603050405020304" pitchFamily="18" charset="0"/>
              <a:ea typeface="+mn-ea"/>
              <a:cs typeface="Times New Roman" panose="02020603050405020304" pitchFamily="18" charset="0"/>
            </a:rPr>
            <a:t>MONTHLY TREND OF TRANSACTION AMOUNT</a:t>
          </a:r>
          <a:r>
            <a:rPr lang="en-IN" sz="1600">
              <a:solidFill>
                <a:schemeClr val="dk1"/>
              </a:solidFill>
              <a:effectLst/>
              <a:latin typeface="Times New Roman" panose="02020603050405020304" pitchFamily="18" charset="0"/>
              <a:ea typeface="+mn-ea"/>
              <a:cs typeface="Times New Roman" panose="02020603050405020304" pitchFamily="18" charset="0"/>
            </a:rPr>
            <a:t> </a:t>
          </a:r>
          <a:endParaRPr lang="en-IN" sz="1600">
            <a:effectLst/>
            <a:latin typeface="Times New Roman" panose="02020603050405020304" pitchFamily="18" charset="0"/>
            <a:cs typeface="Times New Roman" panose="02020603050405020304" pitchFamily="18" charset="0"/>
          </a:endParaRPr>
        </a:p>
        <a:p>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17</xdr:col>
      <xdr:colOff>314477</xdr:colOff>
      <xdr:row>12</xdr:row>
      <xdr:rowOff>48381</xdr:rowOff>
    </xdr:from>
    <xdr:to>
      <xdr:col>21</xdr:col>
      <xdr:colOff>0</xdr:colOff>
      <xdr:row>15</xdr:row>
      <xdr:rowOff>24190</xdr:rowOff>
    </xdr:to>
    <xdr:sp macro="" textlink="">
      <xdr:nvSpPr>
        <xdr:cNvPr id="27" name="TextBox 26">
          <a:extLst>
            <a:ext uri="{FF2B5EF4-FFF2-40B4-BE49-F238E27FC236}">
              <a16:creationId xmlns:a16="http://schemas.microsoft.com/office/drawing/2014/main" id="{9192BC0A-712F-1983-2AC0-A5549DCA2C1C}"/>
            </a:ext>
          </a:extLst>
        </xdr:cNvPr>
        <xdr:cNvSpPr txBox="1"/>
      </xdr:nvSpPr>
      <xdr:spPr>
        <a:xfrm>
          <a:off x="10595429" y="2225524"/>
          <a:ext cx="2104571" cy="52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12510058.75</a:t>
          </a:r>
          <a:r>
            <a:rPr lang="en-IN" sz="2800" b="1">
              <a:effectLst/>
            </a:rPr>
            <a:t> </a:t>
          </a:r>
          <a:endParaRPr lang="en-IN" sz="2800" b="1"/>
        </a:p>
      </xdr:txBody>
    </xdr:sp>
    <xdr:clientData/>
  </xdr:twoCellAnchor>
  <xdr:twoCellAnchor>
    <xdr:from>
      <xdr:col>4</xdr:col>
      <xdr:colOff>556381</xdr:colOff>
      <xdr:row>19</xdr:row>
      <xdr:rowOff>60476</xdr:rowOff>
    </xdr:from>
    <xdr:to>
      <xdr:col>12</xdr:col>
      <xdr:colOff>127053</xdr:colOff>
      <xdr:row>37</xdr:row>
      <xdr:rowOff>60475</xdr:rowOff>
    </xdr:to>
    <xdr:graphicFrame macro="">
      <xdr:nvGraphicFramePr>
        <xdr:cNvPr id="29" name="Chart 28">
          <a:extLst>
            <a:ext uri="{FF2B5EF4-FFF2-40B4-BE49-F238E27FC236}">
              <a16:creationId xmlns:a16="http://schemas.microsoft.com/office/drawing/2014/main" id="{A9152054-FA47-4749-B3D3-2C4EBDD1E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132313</xdr:colOff>
      <xdr:row>19</xdr:row>
      <xdr:rowOff>169333</xdr:rowOff>
    </xdr:from>
    <xdr:to>
      <xdr:col>20</xdr:col>
      <xdr:colOff>470980</xdr:colOff>
      <xdr:row>36</xdr:row>
      <xdr:rowOff>36284</xdr:rowOff>
    </xdr:to>
    <xdr:graphicFrame macro="">
      <xdr:nvGraphicFramePr>
        <xdr:cNvPr id="30" name="Chart 29">
          <a:extLst>
            <a:ext uri="{FF2B5EF4-FFF2-40B4-BE49-F238E27FC236}">
              <a16:creationId xmlns:a16="http://schemas.microsoft.com/office/drawing/2014/main" id="{A6723827-498A-4BD5-AFA9-F18A7D9F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302381</xdr:colOff>
      <xdr:row>7</xdr:row>
      <xdr:rowOff>24189</xdr:rowOff>
    </xdr:from>
    <xdr:to>
      <xdr:col>4</xdr:col>
      <xdr:colOff>12094</xdr:colOff>
      <xdr:row>22</xdr:row>
      <xdr:rowOff>145141</xdr:rowOff>
    </xdr:to>
    <mc:AlternateContent xmlns:mc="http://schemas.openxmlformats.org/markup-compatibility/2006">
      <mc:Choice xmlns:a14="http://schemas.microsoft.com/office/drawing/2010/main" Requires="a14">
        <xdr:graphicFrame macro="">
          <xdr:nvGraphicFramePr>
            <xdr:cNvPr id="32" name="Branch">
              <a:extLst>
                <a:ext uri="{FF2B5EF4-FFF2-40B4-BE49-F238E27FC236}">
                  <a16:creationId xmlns:a16="http://schemas.microsoft.com/office/drawing/2014/main" id="{7F079DD9-9FF2-4E40-8AD1-0B58B76B0F7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302381" y="1294189"/>
              <a:ext cx="2128761" cy="2842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306783</xdr:colOff>
      <xdr:row>23</xdr:row>
      <xdr:rowOff>113305</xdr:rowOff>
    </xdr:from>
    <xdr:to>
      <xdr:col>3</xdr:col>
      <xdr:colOff>556381</xdr:colOff>
      <xdr:row>39</xdr:row>
      <xdr:rowOff>169334</xdr:rowOff>
    </xdr:to>
    <mc:AlternateContent xmlns:mc="http://schemas.openxmlformats.org/markup-compatibility/2006">
      <mc:Choice xmlns:a14="http://schemas.microsoft.com/office/drawing/2010/main" Requires="a14">
        <xdr:graphicFrame macro="">
          <xdr:nvGraphicFramePr>
            <xdr:cNvPr id="33" name="Account_Type">
              <a:extLst>
                <a:ext uri="{FF2B5EF4-FFF2-40B4-BE49-F238E27FC236}">
                  <a16:creationId xmlns:a16="http://schemas.microsoft.com/office/drawing/2014/main" id="{D14BB235-B71D-4DB5-8475-65D2C239AE1A}"/>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306783" y="4286162"/>
              <a:ext cx="2063884" cy="2958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RAMAN P" refreshedDate="46057.590704629627" createdVersion="8" refreshedVersion="8" minRefreshableVersion="3" recordCount="501" xr:uid="{3D88F59D-C5E8-4A46-9197-40F5CAD95D71}">
  <cacheSource type="worksheet">
    <worksheetSource ref="A1:N1048576" sheet="Cleaned"/>
  </cacheSource>
  <cacheFields count="16">
    <cacheField name="Transaction_ID" numFmtId="0">
      <sharedItems containsString="0" containsBlank="1" containsNumber="1" containsInteger="1" minValue="100001" maxValue="100500"/>
    </cacheField>
    <cacheField name="Account_Number" numFmtId="0">
      <sharedItems containsString="0" containsBlank="1" containsNumber="1" containsInteger="1" minValue="1011145552" maxValue="9980785586" count="501">
        <n v="1787846414"/>
        <n v="3563451924"/>
        <n v="5537253172"/>
        <n v="8395928407"/>
        <n v="5298312065"/>
        <n v="3652062880"/>
        <n v="5325316860"/>
        <n v="3253890010"/>
        <n v="5495394815"/>
        <n v="5684118973"/>
        <n v="2934879560"/>
        <n v="9646907153"/>
        <n v="6950318585"/>
        <n v="1068574553"/>
        <n v="1991681409"/>
        <n v="4578544903"/>
        <n v="6974559824"/>
        <n v="7120997885"/>
        <n v="6188069941"/>
        <n v="7733221635"/>
        <n v="5429456860"/>
        <n v="7226646571"/>
        <n v="6992124617"/>
        <n v="9274936803"/>
        <n v="8418576734"/>
        <n v="5128202429"/>
        <n v="7612927342"/>
        <n v="3520077079"/>
        <n v="9440707288"/>
        <n v="2272485020"/>
        <n v="1067157848"/>
        <n v="4055190407"/>
        <n v="3602578298"/>
        <n v="4978431977"/>
        <n v="4929721883"/>
        <n v="5704750624"/>
        <n v="2644658402"/>
        <n v="5173471662"/>
        <n v="8941024386"/>
        <n v="4099804676"/>
        <n v="6308514806"/>
        <n v="9763595546"/>
        <n v="4052273870"/>
        <n v="7181903227"/>
        <n v="1866377394"/>
        <n v="5893391332"/>
        <n v="3318599822"/>
        <n v="9076547867"/>
        <n v="7976547497"/>
        <n v="2269737021"/>
        <n v="1453094388"/>
        <n v="7255768347"/>
        <n v="9088627133"/>
        <n v="5819331062"/>
        <n v="2168799104"/>
        <n v="3781807898"/>
        <n v="5297202296"/>
        <n v="2309025538"/>
        <n v="3082328893"/>
        <n v="3973990112"/>
        <n v="6234552479"/>
        <n v="2734463155"/>
        <n v="1278710077"/>
        <n v="2090558393"/>
        <n v="8285571366"/>
        <n v="8354146178"/>
        <n v="1636028516"/>
        <n v="5285262775"/>
        <n v="2145815738"/>
        <n v="5194529281"/>
        <n v="7060357851"/>
        <n v="5436919126"/>
        <n v="2482069727"/>
        <n v="3724518272"/>
        <n v="7575313972"/>
        <n v="7007905237"/>
        <n v="1647326920"/>
        <n v="8283460559"/>
        <n v="4686622978"/>
        <n v="2707558823"/>
        <n v="8892904807"/>
        <n v="3902066954"/>
        <n v="1897955761"/>
        <n v="8283338537"/>
        <n v="9513348207"/>
        <n v="3218934259"/>
        <n v="9573844352"/>
        <n v="4790894239"/>
        <n v="2197743336"/>
        <n v="8168249959"/>
        <n v="9332809688"/>
        <n v="2219431313"/>
        <n v="7380662465"/>
        <n v="7220934306"/>
        <n v="1755593187"/>
        <n v="1077633091"/>
        <n v="3121257357"/>
        <n v="1768037679"/>
        <n v="2323111039"/>
        <n v="3330192559"/>
        <n v="7828443293"/>
        <n v="9499280101"/>
        <n v="3090541618"/>
        <n v="9186631943"/>
        <n v="6798542612"/>
        <n v="8065665120"/>
        <n v="1988638203"/>
        <n v="3144019247"/>
        <n v="1187276799"/>
        <n v="5271561899"/>
        <n v="2200702509"/>
        <n v="4794577925"/>
        <n v="5093412388"/>
        <n v="3374107437"/>
        <n v="3457977438"/>
        <n v="1323609715"/>
        <n v="1819956639"/>
        <n v="2695186921"/>
        <n v="9289359170"/>
        <n v="6835343510"/>
        <n v="6386591870"/>
        <n v="6680312281"/>
        <n v="4645008999"/>
        <n v="1586784136"/>
        <n v="2273501353"/>
        <n v="3626431383"/>
        <n v="1350444347"/>
        <n v="5317236102"/>
        <n v="3696785955"/>
        <n v="1834400275"/>
        <n v="1304688903"/>
        <n v="9708547726"/>
        <n v="7178199327"/>
        <n v="6704372274"/>
        <n v="1665898681"/>
        <n v="4603191957"/>
        <n v="8990377017"/>
        <n v="6369788720"/>
        <n v="6597482766"/>
        <n v="7601718762"/>
        <n v="4555670279"/>
        <n v="2166267963"/>
        <n v="2963938918"/>
        <n v="1834855903"/>
        <n v="5164129137"/>
        <n v="5471350930"/>
        <n v="2712922743"/>
        <n v="1791707097"/>
        <n v="1347346749"/>
        <n v="3957084555"/>
        <n v="1249939584"/>
        <n v="9225780345"/>
        <n v="2899888366"/>
        <n v="6324846175"/>
        <n v="5698150005"/>
        <n v="3741351296"/>
        <n v="8430462300"/>
        <n v="9794873794"/>
        <n v="1516103253"/>
        <n v="2468362012"/>
        <n v="5689241307"/>
        <n v="1404401198"/>
        <n v="2337509981"/>
        <n v="9501932989"/>
        <n v="8573592537"/>
        <n v="2995758845"/>
        <n v="8085724004"/>
        <n v="9796346105"/>
        <n v="9371517173"/>
        <n v="4808263267"/>
        <n v="6415496883"/>
        <n v="9655667081"/>
        <n v="9304045714"/>
        <n v="7446917215"/>
        <n v="3316608503"/>
        <n v="3937602028"/>
        <n v="4724591067"/>
        <n v="7757559970"/>
        <n v="4484095420"/>
        <n v="3688390411"/>
        <n v="3798105767"/>
        <n v="6182669866"/>
        <n v="1921653259"/>
        <n v="5462312700"/>
        <n v="3816307289"/>
        <n v="8222475721"/>
        <n v="6757938685"/>
        <n v="6414641778"/>
        <n v="3130464646"/>
        <n v="2496094321"/>
        <n v="5022873162"/>
        <n v="1168303991"/>
        <n v="5155726844"/>
        <n v="3353521315"/>
        <n v="7113761124"/>
        <n v="3441776023"/>
        <n v="4142403170"/>
        <n v="6368779760"/>
        <n v="7708166367"/>
        <n v="2024765707"/>
        <n v="3919911094"/>
        <n v="4177883926"/>
        <n v="2023216482"/>
        <n v="2622333213"/>
        <n v="3294919024"/>
        <n v="7427681363"/>
        <n v="6573300620"/>
        <n v="1229717603"/>
        <n v="4638452114"/>
        <n v="8201671902"/>
        <n v="9947638415"/>
        <n v="1393866308"/>
        <n v="3378136499"/>
        <n v="1487326758"/>
        <n v="4998310068"/>
        <n v="9479331513"/>
        <n v="9829899385"/>
        <n v="4165543586"/>
        <n v="9455295726"/>
        <n v="8889699769"/>
        <n v="4601247461"/>
        <n v="1955958439"/>
        <n v="6998572936"/>
        <n v="9125635354"/>
        <n v="5924630209"/>
        <n v="3204719132"/>
        <n v="2001706917"/>
        <n v="4781117269"/>
        <n v="3542142764"/>
        <n v="8336582395"/>
        <n v="2623444331"/>
        <n v="8323281574"/>
        <n v="6713391122"/>
        <n v="2740329713"/>
        <n v="8477425811"/>
        <n v="4533857662"/>
        <n v="4196364710"/>
        <n v="3925042050"/>
        <n v="2020082523"/>
        <n v="7013911544"/>
        <n v="1356015512"/>
        <n v="7169015412"/>
        <n v="8740000313"/>
        <n v="2385927470"/>
        <n v="1186404943"/>
        <n v="9266280148"/>
        <n v="2086584483"/>
        <n v="6008857134"/>
        <n v="1931188016"/>
        <n v="6559809166"/>
        <n v="3993270325"/>
        <n v="6945101570"/>
        <n v="4930987466"/>
        <n v="6962567303"/>
        <n v="6280210235"/>
        <n v="6437162011"/>
        <n v="2116476131"/>
        <n v="5433763262"/>
        <n v="2201575112"/>
        <n v="2766119412"/>
        <n v="1572025740"/>
        <n v="5622245410"/>
        <n v="5039553413"/>
        <n v="7084418418"/>
        <n v="5650369033"/>
        <n v="7664019194"/>
        <n v="1707957764"/>
        <n v="4339776373"/>
        <n v="3063173777"/>
        <n v="2618081546"/>
        <n v="4219414297"/>
        <n v="8856200506"/>
        <n v="1272781216"/>
        <n v="5453116008"/>
        <n v="1058720660"/>
        <n v="8265858011"/>
        <n v="3294999748"/>
        <n v="9216984322"/>
        <n v="3513198102"/>
        <n v="4118665268"/>
        <n v="4251638985"/>
        <n v="6917823058"/>
        <n v="2035451476"/>
        <n v="6175630280"/>
        <n v="6374904320"/>
        <n v="1890035971"/>
        <n v="9066896320"/>
        <n v="4251286503"/>
        <n v="7434570489"/>
        <n v="7340276661"/>
        <n v="8865680642"/>
        <n v="9452382955"/>
        <n v="1379710429"/>
        <n v="8695799034"/>
        <n v="3533841296"/>
        <n v="3746036109"/>
        <n v="8752607818"/>
        <n v="7946094783"/>
        <n v="7906684721"/>
        <n v="8029333841"/>
        <n v="7677882190"/>
        <n v="9980785586"/>
        <n v="7231612896"/>
        <n v="4420820252"/>
        <n v="8597443856"/>
        <n v="7961307397"/>
        <n v="2492129217"/>
        <n v="1898209917"/>
        <n v="2976196758"/>
        <n v="8291426703"/>
        <n v="5179477151"/>
        <n v="7880260156"/>
        <n v="6256391730"/>
        <n v="2482118609"/>
        <n v="1136600085"/>
        <n v="3356714309"/>
        <n v="3295331460"/>
        <n v="2528971787"/>
        <n v="9135601197"/>
        <n v="5847937456"/>
        <n v="6712733913"/>
        <n v="2381187482"/>
        <n v="1396385049"/>
        <n v="3066503726"/>
        <n v="3954012885"/>
        <n v="5969181290"/>
        <n v="1011145552"/>
        <n v="9024292131"/>
        <n v="1362997767"/>
        <n v="3565289826"/>
        <n v="5235941555"/>
        <n v="6309080077"/>
        <n v="8558950939"/>
        <n v="1267754137"/>
        <n v="5929501882"/>
        <n v="8514544490"/>
        <n v="9720811515"/>
        <n v="4724659985"/>
        <n v="6816015653"/>
        <n v="4167131254"/>
        <n v="1782903323"/>
        <n v="7717178918"/>
        <n v="4610821904"/>
        <n v="9973064277"/>
        <n v="7594216061"/>
        <n v="2472859660"/>
        <n v="3059789457"/>
        <n v="7690452078"/>
        <n v="3424330987"/>
        <n v="2449323108"/>
        <n v="9158923443"/>
        <n v="7904397119"/>
        <n v="6344456122"/>
        <n v="2418835909"/>
        <n v="5010175864"/>
        <n v="1032359860"/>
        <n v="6262764308"/>
        <n v="6864162885"/>
        <n v="9967409085"/>
        <n v="8756130653"/>
        <n v="9828964503"/>
        <n v="9811707266"/>
        <n v="9668285470"/>
        <n v="7768861651"/>
        <n v="9482848885"/>
        <n v="3107749981"/>
        <n v="4085750465"/>
        <n v="9452470169"/>
        <n v="8348484931"/>
        <n v="4162157587"/>
        <n v="3275645579"/>
        <n v="8592555149"/>
        <n v="3173699965"/>
        <n v="2585832837"/>
        <n v="7246033399"/>
        <n v="7651199748"/>
        <n v="3940212391"/>
        <n v="5672357971"/>
        <n v="1596247870"/>
        <n v="1011643208"/>
        <n v="1501205768"/>
        <n v="5753237086"/>
        <n v="4653846596"/>
        <n v="8498903483"/>
        <n v="9301905780"/>
        <n v="1880476065"/>
        <n v="5501532219"/>
        <n v="4223381220"/>
        <n v="8728953147"/>
        <n v="8838885154"/>
        <n v="1800603300"/>
        <n v="2012288338"/>
        <n v="9194222653"/>
        <n v="3526757929"/>
        <n v="3933385617"/>
        <n v="9159009567"/>
        <n v="7613309280"/>
        <n v="2526270096"/>
        <n v="2681402862"/>
        <n v="5581094196"/>
        <n v="6724400194"/>
        <n v="3127828256"/>
        <n v="8526514104"/>
        <n v="4036457980"/>
        <n v="4343941018"/>
        <n v="6173479619"/>
        <n v="8361849153"/>
        <n v="7416601604"/>
        <n v="1442020981"/>
        <n v="7599137164"/>
        <n v="3318683783"/>
        <n v="3088889500"/>
        <n v="5347379098"/>
        <n v="4551073939"/>
        <n v="6766097767"/>
        <n v="6271432325"/>
        <n v="7936158570"/>
        <n v="1597499495"/>
        <n v="5727876817"/>
        <n v="2099578336"/>
        <n v="8607446512"/>
        <n v="5590983048"/>
        <n v="5627058738"/>
        <n v="1447737293"/>
        <n v="9206334730"/>
        <n v="6308175972"/>
        <n v="1710905177"/>
        <n v="6095209379"/>
        <n v="8891962838"/>
        <n v="2426557952"/>
        <n v="2629105582"/>
        <n v="4196527924"/>
        <n v="1882958537"/>
        <n v="3592964249"/>
        <n v="1490774306"/>
        <n v="4708782169"/>
        <n v="7295134086"/>
        <n v="7360146394"/>
        <n v="9239700314"/>
        <n v="3521438847"/>
        <n v="9731009978"/>
        <n v="5440477172"/>
        <n v="4352203548"/>
        <n v="6240277657"/>
        <n v="3212654128"/>
        <n v="3393608339"/>
        <n v="8991353685"/>
        <n v="1792261991"/>
        <n v="2286754630"/>
        <n v="2331168991"/>
        <n v="2706468317"/>
        <n v="3684251440"/>
        <n v="2622320604"/>
        <n v="8887985807"/>
        <n v="6557879552"/>
        <n v="8361828210"/>
        <n v="7590437877"/>
        <n v="7429617373"/>
        <n v="8582147506"/>
        <n v="2436077319"/>
        <n v="1324284470"/>
        <n v="9149401554"/>
        <n v="7556604577"/>
        <n v="9018677126"/>
        <n v="2752280071"/>
        <n v="3369630520"/>
        <n v="3555715911"/>
        <n v="6752126200"/>
        <n v="3391101019"/>
        <n v="8753768738"/>
        <n v="7885680415"/>
        <n v="1605941941"/>
        <n v="2745441677"/>
        <n v="4764298642"/>
        <n v="9206067584"/>
        <n v="8838776318"/>
        <n v="6854294722"/>
        <n v="9736943222"/>
        <n v="2482588964"/>
        <n v="8618561279"/>
        <n v="6853000584"/>
        <n v="8993226292"/>
        <n v="8644005739"/>
        <n v="7724959389"/>
        <n v="7318178006"/>
        <n v="3082107249"/>
        <n v="8480488456"/>
        <n v="2728939288"/>
        <n v="8065453845"/>
        <n v="9162895900"/>
        <n v="3968775265"/>
        <n v="7569846911"/>
        <n v="4500632105"/>
        <n v="5583483425"/>
        <n v="2740527268"/>
        <n v="3136595429"/>
        <n v="8388213835"/>
        <n v="5896342357"/>
        <n v="2132513306"/>
        <n v="2144601886"/>
        <m/>
      </sharedItems>
    </cacheField>
    <cacheField name="Customer_Name" numFmtId="0">
      <sharedItems containsBlank="1"/>
    </cacheField>
    <cacheField name="Account_Type" numFmtId="0">
      <sharedItems containsBlank="1" count="4">
        <s v="Current"/>
        <s v="Loan"/>
        <s v="Savings"/>
        <m/>
      </sharedItems>
    </cacheField>
    <cacheField name="Transaction_Date" numFmtId="0">
      <sharedItems containsNonDate="0" containsDate="1" containsString="0" containsBlank="1" minDate="2024-01-01T00:00:00" maxDate="2025-05-15T00:00:00" count="50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m/>
      </sharedItems>
      <fieldGroup par="15"/>
    </cacheField>
    <cacheField name="Transaction_Type" numFmtId="0">
      <sharedItems containsBlank="1" count="3">
        <s v="Credit"/>
        <s v="Debit"/>
        <m/>
      </sharedItems>
    </cacheField>
    <cacheField name="Transaction_Amount" numFmtId="0">
      <sharedItems containsString="0" containsBlank="1" containsNumber="1" minValue="659.3" maxValue="49918.2" count="501">
        <n v="14601.21"/>
        <n v="15710.85"/>
        <n v="40249.78"/>
        <n v="27188.48"/>
        <n v="15909.73"/>
        <n v="30711.52"/>
        <n v="35949.46"/>
        <n v="13994.89"/>
        <n v="20970.68"/>
        <n v="6533.36"/>
        <n v="9466.89"/>
        <n v="34215.33"/>
        <n v="9481.2000000000007"/>
        <n v="26495.59"/>
        <n v="35597.79"/>
        <n v="5790.41"/>
        <n v="28581.95"/>
        <n v="13199.86"/>
        <n v="48164.88"/>
        <n v="24435.51"/>
        <n v="40396.629999999997"/>
        <n v="27736.21"/>
        <n v="2648.92"/>
        <n v="31840.99"/>
        <n v="47594.47"/>
        <n v="30279.79"/>
        <n v="41049.85"/>
        <n v="44268.22"/>
        <n v="11789.95"/>
        <n v="10996.22"/>
        <n v="30743.56"/>
        <n v="20845.91"/>
        <n v="42073.13"/>
        <n v="45051.14"/>
        <n v="17994.36"/>
        <n v="12225.09"/>
        <n v="39136.01"/>
        <n v="14102.9"/>
        <n v="41219.410000000003"/>
        <n v="21475.040000000001"/>
        <n v="33543.72"/>
        <n v="5229"/>
        <n v="31381.040000000001"/>
        <n v="22862.5"/>
        <n v="29537.119999999999"/>
        <n v="8816.7000000000007"/>
        <n v="36975.25"/>
        <n v="43208.46"/>
        <n v="11228.62"/>
        <n v="5237.87"/>
        <n v="1670.11"/>
        <n v="32277.59"/>
        <n v="30551.15"/>
        <n v="27561.52"/>
        <n v="11981.38"/>
        <n v="19849.849999999999"/>
        <n v="29926.58"/>
        <n v="25089.96"/>
        <n v="49395.38"/>
        <n v="7253.77"/>
        <n v="34909.660000000003"/>
        <n v="20513.78"/>
        <n v="21695.88"/>
        <n v="36021.089999999997"/>
        <n v="34775.589999999997"/>
        <n v="49567.17"/>
        <n v="6855.52"/>
        <n v="5653.43"/>
        <n v="36354.769999999997"/>
        <n v="29130.15"/>
        <n v="14070.95"/>
        <n v="4431.26"/>
        <n v="4740.08"/>
        <n v="44762.45"/>
        <n v="9997.43"/>
        <n v="16506.89"/>
        <n v="11719.49"/>
        <n v="18072.32"/>
        <n v="3936.48"/>
        <n v="26193.46"/>
        <n v="3846.82"/>
        <n v="40117.65"/>
        <n v="12068.75"/>
        <n v="27230.59"/>
        <n v="44063.91"/>
        <n v="32718.43"/>
        <n v="26881.41"/>
        <n v="16554.52"/>
        <n v="16983.59"/>
        <n v="33639.599999999999"/>
        <n v="49709.9"/>
        <n v="33261.040000000001"/>
        <n v="28110.28"/>
        <n v="36667.199999999997"/>
        <n v="23527.68"/>
        <n v="3477.05"/>
        <n v="28333.69"/>
        <n v="47902.45"/>
        <n v="9177.5"/>
        <n v="34655.24"/>
        <n v="10446.219999999999"/>
        <n v="27023.47"/>
        <n v="5285.48"/>
        <n v="22793.360000000001"/>
        <n v="37930.080000000002"/>
        <n v="17704.79"/>
        <n v="33413.129999999997"/>
        <n v="39874.769999999997"/>
        <n v="46395.3"/>
        <n v="12114.78"/>
        <n v="20266.14"/>
        <n v="8044.59"/>
        <n v="49627.93"/>
        <n v="46386.55"/>
        <n v="27227.88"/>
        <n v="42180.65"/>
        <n v="26287.42"/>
        <n v="31367.49"/>
        <n v="4911.66"/>
        <n v="37885.89"/>
        <n v="6821.82"/>
        <n v="41390.35"/>
        <n v="39210.39"/>
        <n v="35582.86"/>
        <n v="2289.94"/>
        <n v="15504.85"/>
        <n v="13524.07"/>
        <n v="18326.75"/>
        <n v="4838.32"/>
        <n v="46879.41"/>
        <n v="27913.21"/>
        <n v="15623.45"/>
        <n v="20150.59"/>
        <n v="22636.53"/>
        <n v="30229.42"/>
        <n v="26026.13"/>
        <n v="46009.9"/>
        <n v="25099.69"/>
        <n v="49611.82"/>
        <n v="42645.54"/>
        <n v="10821.27"/>
        <n v="46564.46"/>
        <n v="6260.14"/>
        <n v="40963.760000000002"/>
        <n v="19340.849999999999"/>
        <n v="43959.73"/>
        <n v="43468.81"/>
        <n v="40393.31"/>
        <n v="39606.51"/>
        <n v="15581.62"/>
        <n v="4505.5"/>
        <n v="20447.52"/>
        <n v="9089.4599999999991"/>
        <n v="34900.080000000002"/>
        <n v="17631.939999999999"/>
        <n v="48792.7"/>
        <n v="32228.12"/>
        <n v="41212.79"/>
        <n v="7059.97"/>
        <n v="43169.72"/>
        <n v="46176.480000000003"/>
        <n v="24609.56"/>
        <n v="30509.52"/>
        <n v="38358.089999999997"/>
        <n v="9154.51"/>
        <n v="25377.02"/>
        <n v="20233.82"/>
        <n v="7745.51"/>
        <n v="18692.95"/>
        <n v="3874.53"/>
        <n v="1777.69"/>
        <n v="7190.73"/>
        <n v="48174.2"/>
        <n v="27701.71"/>
        <n v="48308.2"/>
        <n v="21908.639999999999"/>
        <n v="15934.9"/>
        <n v="25554.02"/>
        <n v="22255.83"/>
        <n v="5730.4"/>
        <n v="32220.9"/>
        <n v="11193.89"/>
        <n v="31169.599999999999"/>
        <n v="32684.95"/>
        <n v="8025.23"/>
        <n v="3536.81"/>
        <n v="39147.699999999997"/>
        <n v="23260.12"/>
        <n v="3379.11"/>
        <n v="49745.88"/>
        <n v="3360.14"/>
        <n v="34904.239999999998"/>
        <n v="49192.11"/>
        <n v="12339.42"/>
        <n v="7541.34"/>
        <n v="6508.55"/>
        <n v="15512.12"/>
        <n v="5501.77"/>
        <n v="34761.99"/>
        <n v="3583.44"/>
        <n v="25716.400000000001"/>
        <n v="49836.49"/>
        <n v="40791.53"/>
        <n v="30953.360000000001"/>
        <n v="15659.55"/>
        <n v="31382.84"/>
        <n v="26588.55"/>
        <n v="21591.13"/>
        <n v="6970.16"/>
        <n v="44386.91"/>
        <n v="22764.34"/>
        <n v="10133.81"/>
        <n v="18704.09"/>
        <n v="20999.42"/>
        <n v="41463.129999999997"/>
        <n v="36813.910000000003"/>
        <n v="38580.589999999997"/>
        <n v="1046.05"/>
        <n v="21099.62"/>
        <n v="24326.54"/>
        <n v="1450.02"/>
        <n v="13360.75"/>
        <n v="38134.35"/>
        <n v="7286.93"/>
        <n v="26997.85"/>
        <n v="11152.49"/>
        <n v="1099.98"/>
        <n v="12439.47"/>
        <n v="48805.75"/>
        <n v="40176.089999999997"/>
        <n v="47999.040000000001"/>
        <n v="24648.78"/>
        <n v="5931.94"/>
        <n v="27623.99"/>
        <n v="22991.68"/>
        <n v="42295.68"/>
        <n v="5355.09"/>
        <n v="24667.94"/>
        <n v="7927.41"/>
        <n v="16571.46"/>
        <n v="36999.18"/>
        <n v="24062.9"/>
        <n v="19106.47"/>
        <n v="20026.580000000002"/>
        <n v="23242.62"/>
        <n v="39358.32"/>
        <n v="44658.19"/>
        <n v="47789.07"/>
        <n v="39451.72"/>
        <n v="16112.64"/>
        <n v="34562.67"/>
        <n v="22161.35"/>
        <n v="13106.2"/>
        <n v="42123.14"/>
        <n v="2402.1"/>
        <n v="45137.22"/>
        <n v="23343.13"/>
        <n v="32041.47"/>
        <n v="33138.019999999997"/>
        <n v="44808.33"/>
        <n v="32015.15"/>
        <n v="30889.71"/>
        <n v="3799.28"/>
        <n v="26161.200000000001"/>
        <n v="7933.37"/>
        <n v="37002.97"/>
        <n v="25854.99"/>
        <n v="34171.279999999999"/>
        <n v="2562.81"/>
        <n v="4697.2"/>
        <n v="35958.01"/>
        <n v="4068.17"/>
        <n v="4027.21"/>
        <n v="1099.3699999999999"/>
        <n v="47846.82"/>
        <n v="37006.660000000003"/>
        <n v="17985.939999999999"/>
        <n v="15178.51"/>
        <n v="17810.310000000001"/>
        <n v="38845.35"/>
        <n v="33237.85"/>
        <n v="9667.18"/>
        <n v="9118.41"/>
        <n v="5370.58"/>
        <n v="33184.980000000003"/>
        <n v="38336.449999999997"/>
        <n v="13619.8"/>
        <n v="1536.78"/>
        <n v="4567.5"/>
        <n v="48409.07"/>
        <n v="15124.52"/>
        <n v="38576.550000000003"/>
        <n v="31420.85"/>
        <n v="19406.009999999998"/>
        <n v="10681.52"/>
        <n v="6508.63"/>
        <n v="30943.14"/>
        <n v="38844.370000000003"/>
        <n v="32373.26"/>
        <n v="26749.96"/>
        <n v="2576.59"/>
        <n v="48440.19"/>
        <n v="40036.35"/>
        <n v="14994.69"/>
        <n v="49008.53"/>
        <n v="30293.14"/>
        <n v="29329.919999999998"/>
        <n v="37529.620000000003"/>
        <n v="40682.6"/>
        <n v="32995.69"/>
        <n v="6840.74"/>
        <n v="17244.240000000002"/>
        <n v="46440.14"/>
        <n v="11618.47"/>
        <n v="18922.27"/>
        <n v="21887.81"/>
        <n v="22250.55"/>
        <n v="30840.51"/>
        <n v="47182.25"/>
        <n v="12414.29"/>
        <n v="6514.32"/>
        <n v="10274.790000000001"/>
        <n v="44402.78"/>
        <n v="32467.64"/>
        <n v="14652.39"/>
        <n v="40889.370000000003"/>
        <n v="43137.81"/>
        <n v="42402.46"/>
        <n v="45986.86"/>
        <n v="12985.93"/>
        <n v="37874.58"/>
        <n v="23296.71"/>
        <n v="42178.93"/>
        <n v="36560.29"/>
        <n v="38934.15"/>
        <n v="32980.01"/>
        <n v="9282.7199999999993"/>
        <n v="27478.83"/>
        <n v="49241.15"/>
        <n v="46900.71"/>
        <n v="2637.1"/>
        <n v="8658.33"/>
        <n v="7020.57"/>
        <n v="36436.01"/>
        <n v="40980.370000000003"/>
        <n v="11068.81"/>
        <n v="25539.71"/>
        <n v="42114.8"/>
        <n v="36773.68"/>
        <n v="27340.74"/>
        <n v="29722.21"/>
        <n v="25663.85"/>
        <n v="15228.65"/>
        <n v="28468.59"/>
        <n v="34599.82"/>
        <n v="43729.48"/>
        <n v="31996.42"/>
        <n v="38175.519999999997"/>
        <n v="8423.5499999999993"/>
        <n v="23347.09"/>
        <n v="961.92"/>
        <n v="12710.6"/>
        <n v="36459.85"/>
        <n v="49594.59"/>
        <n v="5409.32"/>
        <n v="20373.97"/>
        <n v="40103.51"/>
        <n v="10599.76"/>
        <n v="27976.7"/>
        <n v="36787.03"/>
        <n v="30991.279999999999"/>
        <n v="9807.2199999999993"/>
        <n v="18091.54"/>
        <n v="39297.69"/>
        <n v="27934.21"/>
        <n v="758.87"/>
        <n v="38169.040000000001"/>
        <n v="2247.91"/>
        <n v="37413.82"/>
        <n v="10522.79"/>
        <n v="47924.639999999999"/>
        <n v="18713.07"/>
        <n v="16683.12"/>
        <n v="7869.96"/>
        <n v="15627.41"/>
        <n v="43894.21"/>
        <n v="49818.55"/>
        <n v="18731.32"/>
        <n v="22706.23"/>
        <n v="36242.51"/>
        <n v="44366.69"/>
        <n v="29855.69"/>
        <n v="19880.52"/>
        <n v="20924.78"/>
        <n v="34933.1"/>
        <n v="659.3"/>
        <n v="31169.67"/>
        <n v="18096.900000000001"/>
        <n v="39812.769999999997"/>
        <n v="5103.04"/>
        <n v="29616.01"/>
        <n v="24308.16"/>
        <n v="32295.11"/>
        <n v="3710.25"/>
        <n v="29209.200000000001"/>
        <n v="28293.49"/>
        <n v="28252.67"/>
        <n v="30372.639999999999"/>
        <n v="33985.160000000003"/>
        <n v="40346.959999999999"/>
        <n v="13856.13"/>
        <n v="41339.949999999997"/>
        <n v="25163.66"/>
        <n v="4314.38"/>
        <n v="3398.27"/>
        <n v="17044.8"/>
        <n v="39352.400000000001"/>
        <n v="35530.21"/>
        <n v="39536.44"/>
        <n v="26104.82"/>
        <n v="22289.85"/>
        <n v="7798.9"/>
        <n v="16745.54"/>
        <n v="21983.96"/>
        <n v="4885.72"/>
        <n v="11420.29"/>
        <n v="30112.15"/>
        <n v="36915.32"/>
        <n v="49918.2"/>
        <n v="46689.11"/>
        <n v="32306.98"/>
        <n v="21351.78"/>
        <n v="31990.78"/>
        <n v="39389.760000000002"/>
        <n v="6357.64"/>
        <n v="20790.29"/>
        <n v="42070.21"/>
        <n v="19499.73"/>
        <n v="28807.68"/>
        <n v="29594.58"/>
        <n v="9631.57"/>
        <n v="18430.650000000001"/>
        <n v="17058.310000000001"/>
        <n v="1796.74"/>
        <n v="1697.49"/>
        <n v="41669"/>
        <n v="14017.01"/>
        <n v="26144.9"/>
        <n v="15286.92"/>
        <n v="47063.62"/>
        <n v="13335.19"/>
        <n v="21768.01"/>
        <n v="43700.15"/>
        <n v="42175.71"/>
        <n v="9712.02"/>
        <n v="40230.839999999997"/>
        <n v="23180.25"/>
        <n v="24406.959999999999"/>
        <n v="7107.26"/>
        <n v="4489.7700000000004"/>
        <n v="36533"/>
        <n v="25074.83"/>
        <n v="22124.11"/>
        <n v="36610.660000000003"/>
        <n v="38392.89"/>
        <n v="8365.9500000000007"/>
        <n v="30706.14"/>
        <n v="7200.03"/>
        <n v="37693.07"/>
        <n v="33019.279999999999"/>
        <n v="47852.42"/>
        <n v="3913.42"/>
        <n v="3324.21"/>
        <n v="14468.26"/>
        <n v="13454.43"/>
        <n v="12725.45"/>
        <n v="45359.6"/>
        <n v="12852.54"/>
        <n v="13961.51"/>
        <n v="38090.21"/>
        <n v="22762.12"/>
        <n v="38947.17"/>
        <n v="3735.62"/>
        <n v="24634.77"/>
        <n v="2163.87"/>
        <n v="3601.33"/>
        <n v="45368.65"/>
        <n v="7392.65"/>
        <n v="26854.82"/>
        <n v="20849.23"/>
        <n v="17693.490000000002"/>
        <n v="45041.75"/>
        <n v="1580.26"/>
        <n v="33357.589999999997"/>
        <n v="48188.02"/>
        <n v="28228.33"/>
        <n v="46872.71"/>
        <n v="3086.77"/>
        <n v="21230.27"/>
        <n v="13377.81"/>
        <m/>
      </sharedItems>
    </cacheField>
    <cacheField name="Opening_Balance" numFmtId="0">
      <sharedItems containsString="0" containsBlank="1" containsNumber="1" minValue="10766.9" maxValue="497764.38"/>
    </cacheField>
    <cacheField name="Interest_Rate_%" numFmtId="0">
      <sharedItems containsString="0" containsBlank="1" containsNumber="1" minValue="3" maxValue="11.98"/>
    </cacheField>
    <cacheField name="Loan_Amount" numFmtId="0">
      <sharedItems containsString="0" containsBlank="1" containsNumber="1" minValue="51892.53" maxValue="998947.98"/>
    </cacheField>
    <cacheField name="Tenure_Years" numFmtId="0">
      <sharedItems containsString="0" containsBlank="1" containsNumber="1" containsInteger="1" minValue="1" maxValue="19" count="20">
        <n v="3"/>
        <n v="5"/>
        <n v="8"/>
        <n v="12"/>
        <n v="11"/>
        <n v="14"/>
        <n v="10"/>
        <n v="7"/>
        <n v="17"/>
        <n v="4"/>
        <n v="13"/>
        <n v="18"/>
        <n v="6"/>
        <n v="2"/>
        <n v="16"/>
        <n v="1"/>
        <n v="9"/>
        <n v="19"/>
        <n v="15"/>
        <m/>
      </sharedItems>
    </cacheField>
    <cacheField name="EMI" numFmtId="0">
      <sharedItems containsString="0" containsBlank="1" containsNumber="1" minValue="1009.14" maxValue="49848.55"/>
    </cacheField>
    <cacheField name="Branch" numFmtId="0">
      <sharedItems containsBlank="1" count="6">
        <s v="Hyderabad"/>
        <s v="Mumbai"/>
        <s v="Delhi"/>
        <s v="Bangalore"/>
        <s v="Chennai"/>
        <m/>
      </sharedItems>
    </cacheField>
    <cacheField name="GST_%" numFmtId="0">
      <sharedItems containsString="0" containsBlank="1" containsNumber="1" containsInteger="1" minValue="18" maxValue="18"/>
    </cacheField>
    <cacheField name="Months (Transaction_Date)" numFmtId="0" databaseField="0">
      <fieldGroup base="4">
        <rangePr groupBy="months" startDate="2024-01-01T00:00:00" endDate="2025-05-15T00:00:00"/>
        <groupItems count="14">
          <s v="&lt;1/1/2024"/>
          <s v="Jan"/>
          <s v="Feb"/>
          <s v="Mar"/>
          <s v="Apr"/>
          <s v="May"/>
          <s v="Jun"/>
          <s v="Jul"/>
          <s v="Aug"/>
          <s v="Sep"/>
          <s v="Oct"/>
          <s v="Nov"/>
          <s v="Dec"/>
          <s v="&gt;5/15/2025"/>
        </groupItems>
      </fieldGroup>
    </cacheField>
    <cacheField name="Years (Transaction_Date)" numFmtId="0" databaseField="0">
      <fieldGroup base="4">
        <rangePr groupBy="years" startDate="2024-01-01T00:00:00" endDate="2025-05-15T00:00:00"/>
        <groupItems count="4">
          <s v="&lt;1/1/2024"/>
          <s v="2024"/>
          <s v="2025"/>
          <s v="&gt;5/15/2025"/>
        </groupItems>
      </fieldGroup>
    </cacheField>
  </cacheFields>
  <extLst>
    <ext xmlns:x14="http://schemas.microsoft.com/office/spreadsheetml/2009/9/main" uri="{725AE2AE-9491-48be-B2B4-4EB974FC3084}">
      <x14:pivotCacheDefinition pivotCacheId="565043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01"/>
    <x v="0"/>
    <s v="Customer_1"/>
    <x v="0"/>
    <x v="0"/>
    <x v="0"/>
    <x v="0"/>
    <n v="368102.27"/>
    <n v="4.9000000000000004"/>
    <n v="947226.15"/>
    <x v="0"/>
    <n v="39299.160000000003"/>
    <x v="0"/>
    <n v="18"/>
  </r>
  <r>
    <n v="100002"/>
    <x v="1"/>
    <s v="Customer_2"/>
    <x v="1"/>
    <x v="1"/>
    <x v="1"/>
    <x v="1"/>
    <n v="490835.57"/>
    <n v="11.62"/>
    <n v="659647.68000000005"/>
    <x v="1"/>
    <n v="16371.62"/>
    <x v="1"/>
    <n v="18"/>
  </r>
  <r>
    <n v="100003"/>
    <x v="2"/>
    <s v="Customer_3"/>
    <x v="0"/>
    <x v="2"/>
    <x v="0"/>
    <x v="2"/>
    <n v="135699.73000000001"/>
    <n v="3.08"/>
    <n v="687905.19"/>
    <x v="2"/>
    <n v="13145.79"/>
    <x v="2"/>
    <n v="18"/>
  </r>
  <r>
    <n v="100004"/>
    <x v="3"/>
    <s v="Customer_4"/>
    <x v="2"/>
    <x v="3"/>
    <x v="1"/>
    <x v="3"/>
    <n v="330545.55"/>
    <n v="11.98"/>
    <n v="650668.05000000005"/>
    <x v="2"/>
    <n v="35188.1"/>
    <x v="1"/>
    <n v="18"/>
  </r>
  <r>
    <n v="100005"/>
    <x v="4"/>
    <s v="Customer_5"/>
    <x v="2"/>
    <x v="4"/>
    <x v="1"/>
    <x v="4"/>
    <n v="107067.84"/>
    <n v="9.09"/>
    <n v="239042.53"/>
    <x v="2"/>
    <n v="18841.53"/>
    <x v="2"/>
    <n v="18"/>
  </r>
  <r>
    <n v="100006"/>
    <x v="5"/>
    <s v="Customer_6"/>
    <x v="2"/>
    <x v="5"/>
    <x v="0"/>
    <x v="5"/>
    <n v="287011.82"/>
    <n v="10.46"/>
    <n v="447417.17"/>
    <x v="3"/>
    <n v="28744.54"/>
    <x v="3"/>
    <n v="18"/>
  </r>
  <r>
    <n v="100007"/>
    <x v="6"/>
    <s v="Customer_7"/>
    <x v="1"/>
    <x v="6"/>
    <x v="1"/>
    <x v="6"/>
    <n v="237326.92"/>
    <n v="5.65"/>
    <n v="763392.81"/>
    <x v="2"/>
    <n v="1306.6199999999999"/>
    <x v="2"/>
    <n v="18"/>
  </r>
  <r>
    <n v="100008"/>
    <x v="7"/>
    <s v="Customer_8"/>
    <x v="0"/>
    <x v="7"/>
    <x v="1"/>
    <x v="7"/>
    <n v="486282.61"/>
    <n v="3.13"/>
    <n v="146304.25"/>
    <x v="4"/>
    <n v="4032.4"/>
    <x v="4"/>
    <n v="18"/>
  </r>
  <r>
    <n v="100009"/>
    <x v="8"/>
    <s v="Customer_9"/>
    <x v="2"/>
    <x v="8"/>
    <x v="1"/>
    <x v="8"/>
    <n v="308178.36"/>
    <n v="9.64"/>
    <n v="313960.14"/>
    <x v="5"/>
    <n v="27233.03"/>
    <x v="4"/>
    <n v="18"/>
  </r>
  <r>
    <n v="100010"/>
    <x v="9"/>
    <s v="Customer_10"/>
    <x v="2"/>
    <x v="9"/>
    <x v="1"/>
    <x v="9"/>
    <n v="181258.12"/>
    <n v="10.51"/>
    <n v="312503.15000000002"/>
    <x v="2"/>
    <n v="28737.51"/>
    <x v="4"/>
    <n v="18"/>
  </r>
  <r>
    <n v="100011"/>
    <x v="10"/>
    <s v="Customer_11"/>
    <x v="0"/>
    <x v="10"/>
    <x v="1"/>
    <x v="10"/>
    <n v="65906.929999999993"/>
    <n v="9.66"/>
    <n v="460417.98"/>
    <x v="6"/>
    <n v="37821.19"/>
    <x v="0"/>
    <n v="18"/>
  </r>
  <r>
    <n v="100012"/>
    <x v="11"/>
    <s v="Customer_12"/>
    <x v="2"/>
    <x v="11"/>
    <x v="0"/>
    <x v="11"/>
    <n v="84110.95"/>
    <n v="4.29"/>
    <n v="981350.3"/>
    <x v="7"/>
    <n v="7466.3"/>
    <x v="0"/>
    <n v="18"/>
  </r>
  <r>
    <n v="100013"/>
    <x v="12"/>
    <s v="Customer_13"/>
    <x v="0"/>
    <x v="12"/>
    <x v="1"/>
    <x v="12"/>
    <n v="120405.3"/>
    <n v="9.7799999999999994"/>
    <n v="114127.42"/>
    <x v="8"/>
    <n v="26145.97"/>
    <x v="0"/>
    <n v="18"/>
  </r>
  <r>
    <n v="100014"/>
    <x v="13"/>
    <s v="Customer_14"/>
    <x v="0"/>
    <x v="13"/>
    <x v="1"/>
    <x v="13"/>
    <n v="132973.66"/>
    <n v="9.92"/>
    <n v="542765.93999999994"/>
    <x v="9"/>
    <n v="10527.93"/>
    <x v="2"/>
    <n v="18"/>
  </r>
  <r>
    <n v="100015"/>
    <x v="14"/>
    <s v="Customer_15"/>
    <x v="0"/>
    <x v="14"/>
    <x v="1"/>
    <x v="14"/>
    <n v="426801.87"/>
    <n v="8.93"/>
    <n v="220396.45"/>
    <x v="10"/>
    <n v="5566.61"/>
    <x v="0"/>
    <n v="18"/>
  </r>
  <r>
    <n v="100016"/>
    <x v="15"/>
    <s v="Customer_16"/>
    <x v="0"/>
    <x v="15"/>
    <x v="1"/>
    <x v="15"/>
    <n v="284999.17"/>
    <n v="9.9"/>
    <n v="972142.72"/>
    <x v="9"/>
    <n v="21114.29"/>
    <x v="3"/>
    <n v="18"/>
  </r>
  <r>
    <n v="100017"/>
    <x v="16"/>
    <s v="Customer_17"/>
    <x v="0"/>
    <x v="16"/>
    <x v="1"/>
    <x v="16"/>
    <n v="266461.55"/>
    <n v="10.61"/>
    <n v="157638.32999999999"/>
    <x v="1"/>
    <n v="9003.5"/>
    <x v="4"/>
    <n v="18"/>
  </r>
  <r>
    <n v="100018"/>
    <x v="17"/>
    <s v="Customer_18"/>
    <x v="1"/>
    <x v="17"/>
    <x v="0"/>
    <x v="17"/>
    <n v="66236.75"/>
    <n v="8.52"/>
    <n v="433420.95"/>
    <x v="9"/>
    <n v="11867.32"/>
    <x v="2"/>
    <n v="18"/>
  </r>
  <r>
    <n v="100019"/>
    <x v="18"/>
    <s v="Customer_19"/>
    <x v="2"/>
    <x v="18"/>
    <x v="1"/>
    <x v="18"/>
    <n v="431468.45"/>
    <n v="3.8"/>
    <n v="750990.74"/>
    <x v="11"/>
    <n v="16560.169999999998"/>
    <x v="4"/>
    <n v="18"/>
  </r>
  <r>
    <n v="100020"/>
    <x v="19"/>
    <s v="Customer_20"/>
    <x v="1"/>
    <x v="19"/>
    <x v="0"/>
    <x v="19"/>
    <n v="364179.01"/>
    <n v="7.39"/>
    <n v="719326.71"/>
    <x v="12"/>
    <n v="13710.03"/>
    <x v="0"/>
    <n v="18"/>
  </r>
  <r>
    <n v="100021"/>
    <x v="20"/>
    <s v="Customer_21"/>
    <x v="2"/>
    <x v="20"/>
    <x v="0"/>
    <x v="20"/>
    <n v="43157.5"/>
    <n v="3.7"/>
    <n v="451592.21"/>
    <x v="13"/>
    <n v="5291.97"/>
    <x v="2"/>
    <n v="18"/>
  </r>
  <r>
    <n v="100022"/>
    <x v="21"/>
    <s v="Customer_22"/>
    <x v="1"/>
    <x v="21"/>
    <x v="0"/>
    <x v="21"/>
    <n v="356839.2"/>
    <n v="6.67"/>
    <n v="379197.96"/>
    <x v="4"/>
    <n v="5405.9"/>
    <x v="1"/>
    <n v="18"/>
  </r>
  <r>
    <n v="100023"/>
    <x v="22"/>
    <s v="Customer_23"/>
    <x v="0"/>
    <x v="22"/>
    <x v="0"/>
    <x v="22"/>
    <n v="276333.73"/>
    <n v="6.66"/>
    <n v="427731.76"/>
    <x v="5"/>
    <n v="10469.219999999999"/>
    <x v="3"/>
    <n v="18"/>
  </r>
  <r>
    <n v="100024"/>
    <x v="23"/>
    <s v="Customer_24"/>
    <x v="2"/>
    <x v="23"/>
    <x v="1"/>
    <x v="23"/>
    <n v="50045.42"/>
    <n v="3.59"/>
    <n v="301062.45"/>
    <x v="1"/>
    <n v="3477.4"/>
    <x v="0"/>
    <n v="18"/>
  </r>
  <r>
    <n v="100025"/>
    <x v="24"/>
    <s v="Customer_25"/>
    <x v="2"/>
    <x v="24"/>
    <x v="0"/>
    <x v="24"/>
    <n v="234567.31"/>
    <n v="6.14"/>
    <n v="245066.29"/>
    <x v="12"/>
    <n v="31696.39"/>
    <x v="0"/>
    <n v="18"/>
  </r>
  <r>
    <n v="100026"/>
    <x v="25"/>
    <s v="Customer_26"/>
    <x v="1"/>
    <x v="25"/>
    <x v="0"/>
    <x v="25"/>
    <n v="247501.18"/>
    <n v="4"/>
    <n v="508887.71"/>
    <x v="6"/>
    <n v="15079.01"/>
    <x v="3"/>
    <n v="18"/>
  </r>
  <r>
    <n v="100027"/>
    <x v="26"/>
    <s v="Customer_27"/>
    <x v="1"/>
    <x v="26"/>
    <x v="1"/>
    <x v="26"/>
    <n v="91229.52"/>
    <n v="10.27"/>
    <n v="305107.07"/>
    <x v="2"/>
    <n v="14707.55"/>
    <x v="3"/>
    <n v="18"/>
  </r>
  <r>
    <n v="100028"/>
    <x v="27"/>
    <s v="Customer_28"/>
    <x v="2"/>
    <x v="27"/>
    <x v="1"/>
    <x v="27"/>
    <n v="473392.09"/>
    <n v="11.53"/>
    <n v="323088.58"/>
    <x v="5"/>
    <n v="17267.919999999998"/>
    <x v="1"/>
    <n v="18"/>
  </r>
  <r>
    <n v="100029"/>
    <x v="28"/>
    <s v="Customer_29"/>
    <x v="1"/>
    <x v="28"/>
    <x v="1"/>
    <x v="28"/>
    <n v="426487.93"/>
    <n v="3.65"/>
    <n v="673918.26"/>
    <x v="0"/>
    <n v="33477.019999999997"/>
    <x v="0"/>
    <n v="18"/>
  </r>
  <r>
    <n v="100030"/>
    <x v="29"/>
    <s v="Customer_30"/>
    <x v="1"/>
    <x v="29"/>
    <x v="0"/>
    <x v="29"/>
    <n v="337820.95"/>
    <n v="11.6"/>
    <n v="970110.47"/>
    <x v="3"/>
    <n v="43661.06"/>
    <x v="0"/>
    <n v="18"/>
  </r>
  <r>
    <n v="100031"/>
    <x v="30"/>
    <s v="Customer_31"/>
    <x v="1"/>
    <x v="30"/>
    <x v="1"/>
    <x v="30"/>
    <n v="236524.82"/>
    <n v="7.7"/>
    <n v="623455.34"/>
    <x v="14"/>
    <n v="38195.26"/>
    <x v="4"/>
    <n v="18"/>
  </r>
  <r>
    <n v="100032"/>
    <x v="31"/>
    <s v="Customer_32"/>
    <x v="0"/>
    <x v="31"/>
    <x v="1"/>
    <x v="31"/>
    <n v="211765.12"/>
    <n v="5.7"/>
    <n v="123130.49"/>
    <x v="8"/>
    <n v="36648.93"/>
    <x v="2"/>
    <n v="18"/>
  </r>
  <r>
    <n v="100033"/>
    <x v="32"/>
    <s v="Customer_33"/>
    <x v="0"/>
    <x v="32"/>
    <x v="0"/>
    <x v="32"/>
    <n v="328977"/>
    <n v="3.69"/>
    <n v="121804.43"/>
    <x v="15"/>
    <n v="24735.17"/>
    <x v="2"/>
    <n v="18"/>
  </r>
  <r>
    <n v="100034"/>
    <x v="33"/>
    <s v="Customer_34"/>
    <x v="1"/>
    <x v="33"/>
    <x v="1"/>
    <x v="33"/>
    <n v="277261.62"/>
    <n v="7.51"/>
    <n v="953852.06"/>
    <x v="6"/>
    <n v="34996.47"/>
    <x v="4"/>
    <n v="18"/>
  </r>
  <r>
    <n v="100035"/>
    <x v="34"/>
    <s v="Customer_35"/>
    <x v="1"/>
    <x v="34"/>
    <x v="1"/>
    <x v="34"/>
    <n v="40513.82"/>
    <n v="10.15"/>
    <n v="332426.25"/>
    <x v="6"/>
    <n v="28085.360000000001"/>
    <x v="2"/>
    <n v="18"/>
  </r>
  <r>
    <n v="100036"/>
    <x v="35"/>
    <s v="Customer_36"/>
    <x v="0"/>
    <x v="35"/>
    <x v="1"/>
    <x v="35"/>
    <n v="261126.3"/>
    <n v="9.36"/>
    <n v="137463.64000000001"/>
    <x v="13"/>
    <n v="11596.28"/>
    <x v="3"/>
    <n v="18"/>
  </r>
  <r>
    <n v="100037"/>
    <x v="36"/>
    <s v="Customer_37"/>
    <x v="0"/>
    <x v="36"/>
    <x v="1"/>
    <x v="36"/>
    <n v="405137.77"/>
    <n v="3.45"/>
    <n v="619092.36"/>
    <x v="16"/>
    <n v="11220.83"/>
    <x v="2"/>
    <n v="18"/>
  </r>
  <r>
    <n v="100038"/>
    <x v="37"/>
    <s v="Customer_38"/>
    <x v="2"/>
    <x v="37"/>
    <x v="0"/>
    <x v="37"/>
    <n v="235027.54"/>
    <n v="3.66"/>
    <n v="642466.34"/>
    <x v="10"/>
    <n v="15523.21"/>
    <x v="2"/>
    <n v="18"/>
  </r>
  <r>
    <n v="100039"/>
    <x v="38"/>
    <s v="Customer_39"/>
    <x v="2"/>
    <x v="38"/>
    <x v="1"/>
    <x v="38"/>
    <n v="35458.720000000001"/>
    <n v="6.63"/>
    <n v="666079.57999999996"/>
    <x v="14"/>
    <n v="45629.33"/>
    <x v="4"/>
    <n v="18"/>
  </r>
  <r>
    <n v="100040"/>
    <x v="39"/>
    <s v="Customer_40"/>
    <x v="0"/>
    <x v="39"/>
    <x v="1"/>
    <x v="39"/>
    <n v="395276.32"/>
    <n v="5.66"/>
    <n v="304031.93"/>
    <x v="11"/>
    <n v="27823.33"/>
    <x v="1"/>
    <n v="18"/>
  </r>
  <r>
    <n v="100041"/>
    <x v="40"/>
    <s v="Customer_41"/>
    <x v="1"/>
    <x v="40"/>
    <x v="0"/>
    <x v="40"/>
    <n v="108668.25"/>
    <n v="5.09"/>
    <n v="64355.15"/>
    <x v="17"/>
    <n v="36961.360000000001"/>
    <x v="2"/>
    <n v="18"/>
  </r>
  <r>
    <n v="100042"/>
    <x v="41"/>
    <s v="Customer_42"/>
    <x v="1"/>
    <x v="41"/>
    <x v="1"/>
    <x v="41"/>
    <n v="136724.21"/>
    <n v="5.53"/>
    <n v="966764.6"/>
    <x v="3"/>
    <n v="17981.38"/>
    <x v="2"/>
    <n v="18"/>
  </r>
  <r>
    <n v="100043"/>
    <x v="42"/>
    <s v="Customer_43"/>
    <x v="1"/>
    <x v="42"/>
    <x v="0"/>
    <x v="42"/>
    <n v="90706.11"/>
    <n v="10.23"/>
    <n v="288348.39"/>
    <x v="2"/>
    <n v="20978.07"/>
    <x v="1"/>
    <n v="18"/>
  </r>
  <r>
    <n v="100044"/>
    <x v="43"/>
    <s v="Customer_44"/>
    <x v="1"/>
    <x v="43"/>
    <x v="1"/>
    <x v="43"/>
    <n v="171805.38"/>
    <n v="11.36"/>
    <n v="692224.97"/>
    <x v="8"/>
    <n v="7152.71"/>
    <x v="4"/>
    <n v="18"/>
  </r>
  <r>
    <n v="100045"/>
    <x v="44"/>
    <s v="Customer_45"/>
    <x v="2"/>
    <x v="44"/>
    <x v="0"/>
    <x v="44"/>
    <n v="380808.24"/>
    <n v="6.65"/>
    <n v="721298.38"/>
    <x v="18"/>
    <n v="9393.4500000000007"/>
    <x v="1"/>
    <n v="18"/>
  </r>
  <r>
    <n v="100046"/>
    <x v="45"/>
    <s v="Customer_46"/>
    <x v="0"/>
    <x v="45"/>
    <x v="0"/>
    <x v="45"/>
    <n v="264499.07"/>
    <n v="11.15"/>
    <n v="629507.05000000005"/>
    <x v="6"/>
    <n v="41540.47"/>
    <x v="4"/>
    <n v="18"/>
  </r>
  <r>
    <n v="100047"/>
    <x v="46"/>
    <s v="Customer_47"/>
    <x v="1"/>
    <x v="46"/>
    <x v="0"/>
    <x v="46"/>
    <n v="110391.82"/>
    <n v="5.89"/>
    <n v="347262.02"/>
    <x v="18"/>
    <n v="29657.09"/>
    <x v="3"/>
    <n v="18"/>
  </r>
  <r>
    <n v="100048"/>
    <x v="47"/>
    <s v="Customer_48"/>
    <x v="2"/>
    <x v="47"/>
    <x v="0"/>
    <x v="47"/>
    <n v="440136.74"/>
    <n v="7.29"/>
    <n v="307541.44"/>
    <x v="18"/>
    <n v="17539.09"/>
    <x v="4"/>
    <n v="18"/>
  </r>
  <r>
    <n v="100049"/>
    <x v="48"/>
    <s v="Customer_49"/>
    <x v="1"/>
    <x v="48"/>
    <x v="1"/>
    <x v="48"/>
    <n v="440995.11"/>
    <n v="5.03"/>
    <n v="617784.87"/>
    <x v="7"/>
    <n v="40339.71"/>
    <x v="3"/>
    <n v="18"/>
  </r>
  <r>
    <n v="100050"/>
    <x v="49"/>
    <s v="Customer_50"/>
    <x v="0"/>
    <x v="49"/>
    <x v="0"/>
    <x v="49"/>
    <n v="436583.43"/>
    <n v="8.76"/>
    <n v="872790.85"/>
    <x v="10"/>
    <n v="13079.48"/>
    <x v="3"/>
    <n v="18"/>
  </r>
  <r>
    <n v="100051"/>
    <x v="50"/>
    <s v="Customer_51"/>
    <x v="2"/>
    <x v="50"/>
    <x v="1"/>
    <x v="50"/>
    <n v="127010.14"/>
    <n v="11.81"/>
    <n v="949397.04"/>
    <x v="8"/>
    <n v="48825.599999999999"/>
    <x v="4"/>
    <n v="18"/>
  </r>
  <r>
    <n v="100052"/>
    <x v="51"/>
    <s v="Customer_52"/>
    <x v="0"/>
    <x v="51"/>
    <x v="0"/>
    <x v="51"/>
    <n v="231107.28"/>
    <n v="8.43"/>
    <n v="150610.51"/>
    <x v="16"/>
    <n v="17896.060000000001"/>
    <x v="0"/>
    <n v="18"/>
  </r>
  <r>
    <n v="100053"/>
    <x v="52"/>
    <s v="Customer_53"/>
    <x v="0"/>
    <x v="52"/>
    <x v="0"/>
    <x v="52"/>
    <n v="492644.93"/>
    <n v="6.22"/>
    <n v="197087.18"/>
    <x v="2"/>
    <n v="17528.240000000002"/>
    <x v="4"/>
    <n v="18"/>
  </r>
  <r>
    <n v="100054"/>
    <x v="53"/>
    <s v="Customer_54"/>
    <x v="2"/>
    <x v="53"/>
    <x v="0"/>
    <x v="53"/>
    <n v="388286.11"/>
    <n v="8.83"/>
    <n v="947499.45"/>
    <x v="11"/>
    <n v="16283.68"/>
    <x v="2"/>
    <n v="18"/>
  </r>
  <r>
    <n v="100055"/>
    <x v="54"/>
    <s v="Customer_55"/>
    <x v="2"/>
    <x v="54"/>
    <x v="1"/>
    <x v="54"/>
    <n v="23312.04"/>
    <n v="4.1100000000000003"/>
    <n v="749708.47"/>
    <x v="10"/>
    <n v="6983.46"/>
    <x v="2"/>
    <n v="18"/>
  </r>
  <r>
    <n v="100056"/>
    <x v="55"/>
    <s v="Customer_56"/>
    <x v="2"/>
    <x v="55"/>
    <x v="0"/>
    <x v="55"/>
    <n v="41950.25"/>
    <n v="11"/>
    <n v="888844.13"/>
    <x v="14"/>
    <n v="6445.72"/>
    <x v="0"/>
    <n v="18"/>
  </r>
  <r>
    <n v="100057"/>
    <x v="56"/>
    <s v="Customer_57"/>
    <x v="2"/>
    <x v="56"/>
    <x v="1"/>
    <x v="56"/>
    <n v="237326.37"/>
    <n v="7.53"/>
    <n v="242501"/>
    <x v="16"/>
    <n v="32757.15"/>
    <x v="3"/>
    <n v="18"/>
  </r>
  <r>
    <n v="100058"/>
    <x v="57"/>
    <s v="Customer_58"/>
    <x v="2"/>
    <x v="57"/>
    <x v="1"/>
    <x v="57"/>
    <n v="455517.9"/>
    <n v="7.04"/>
    <n v="608206.57999999996"/>
    <x v="3"/>
    <n v="43880.78"/>
    <x v="0"/>
    <n v="18"/>
  </r>
  <r>
    <n v="100059"/>
    <x v="58"/>
    <s v="Customer_59"/>
    <x v="2"/>
    <x v="58"/>
    <x v="1"/>
    <x v="58"/>
    <n v="273963.88"/>
    <n v="8.27"/>
    <n v="716082.61"/>
    <x v="3"/>
    <n v="39735.51"/>
    <x v="2"/>
    <n v="18"/>
  </r>
  <r>
    <n v="100060"/>
    <x v="59"/>
    <s v="Customer_60"/>
    <x v="2"/>
    <x v="59"/>
    <x v="1"/>
    <x v="59"/>
    <n v="253928.13"/>
    <n v="8.6199999999999992"/>
    <n v="696106.29"/>
    <x v="12"/>
    <n v="7914.27"/>
    <x v="0"/>
    <n v="18"/>
  </r>
  <r>
    <n v="100061"/>
    <x v="60"/>
    <s v="Customer_61"/>
    <x v="1"/>
    <x v="60"/>
    <x v="1"/>
    <x v="60"/>
    <n v="61682.11"/>
    <n v="3.65"/>
    <n v="437744.11"/>
    <x v="17"/>
    <n v="27733.52"/>
    <x v="4"/>
    <n v="18"/>
  </r>
  <r>
    <n v="100062"/>
    <x v="61"/>
    <s v="Customer_62"/>
    <x v="0"/>
    <x v="61"/>
    <x v="1"/>
    <x v="61"/>
    <n v="331822.25"/>
    <n v="9.14"/>
    <n v="64625.15"/>
    <x v="7"/>
    <n v="6173.99"/>
    <x v="0"/>
    <n v="18"/>
  </r>
  <r>
    <n v="100063"/>
    <x v="62"/>
    <s v="Customer_63"/>
    <x v="2"/>
    <x v="62"/>
    <x v="1"/>
    <x v="62"/>
    <n v="412830.55"/>
    <n v="5.18"/>
    <n v="603779.75"/>
    <x v="0"/>
    <n v="3219.44"/>
    <x v="3"/>
    <n v="18"/>
  </r>
  <r>
    <n v="100064"/>
    <x v="63"/>
    <s v="Customer_64"/>
    <x v="1"/>
    <x v="63"/>
    <x v="1"/>
    <x v="63"/>
    <n v="196405.8"/>
    <n v="9.43"/>
    <n v="290446.46000000002"/>
    <x v="14"/>
    <n v="33162.910000000003"/>
    <x v="4"/>
    <n v="18"/>
  </r>
  <r>
    <n v="100065"/>
    <x v="64"/>
    <s v="Customer_65"/>
    <x v="1"/>
    <x v="64"/>
    <x v="1"/>
    <x v="64"/>
    <n v="390049.81"/>
    <n v="10.4"/>
    <n v="477741.53"/>
    <x v="11"/>
    <n v="27222.46"/>
    <x v="1"/>
    <n v="18"/>
  </r>
  <r>
    <n v="100066"/>
    <x v="65"/>
    <s v="Customer_66"/>
    <x v="1"/>
    <x v="65"/>
    <x v="0"/>
    <x v="65"/>
    <n v="482593.56"/>
    <n v="10.24"/>
    <n v="959701.96"/>
    <x v="14"/>
    <n v="5019.16"/>
    <x v="2"/>
    <n v="18"/>
  </r>
  <r>
    <n v="100067"/>
    <x v="66"/>
    <s v="Customer_67"/>
    <x v="0"/>
    <x v="66"/>
    <x v="0"/>
    <x v="66"/>
    <n v="109845.56"/>
    <n v="7.97"/>
    <n v="429083.55"/>
    <x v="7"/>
    <n v="2712.02"/>
    <x v="2"/>
    <n v="18"/>
  </r>
  <r>
    <n v="100068"/>
    <x v="67"/>
    <s v="Customer_68"/>
    <x v="2"/>
    <x v="67"/>
    <x v="0"/>
    <x v="67"/>
    <n v="266431.52"/>
    <n v="7.68"/>
    <n v="847811.53"/>
    <x v="9"/>
    <n v="49498.06"/>
    <x v="0"/>
    <n v="18"/>
  </r>
  <r>
    <n v="100069"/>
    <x v="68"/>
    <s v="Customer_69"/>
    <x v="1"/>
    <x v="68"/>
    <x v="0"/>
    <x v="68"/>
    <n v="150697.60000000001"/>
    <n v="4.29"/>
    <n v="229113.58"/>
    <x v="2"/>
    <n v="2471.0500000000002"/>
    <x v="4"/>
    <n v="18"/>
  </r>
  <r>
    <n v="100070"/>
    <x v="69"/>
    <s v="Customer_70"/>
    <x v="0"/>
    <x v="69"/>
    <x v="0"/>
    <x v="69"/>
    <n v="398498.67"/>
    <n v="9.98"/>
    <n v="688837.47"/>
    <x v="10"/>
    <n v="22781.88"/>
    <x v="1"/>
    <n v="18"/>
  </r>
  <r>
    <n v="100071"/>
    <x v="70"/>
    <s v="Customer_71"/>
    <x v="0"/>
    <x v="70"/>
    <x v="1"/>
    <x v="70"/>
    <n v="293020.75"/>
    <n v="5.44"/>
    <n v="978156.61"/>
    <x v="10"/>
    <n v="25726.33"/>
    <x v="4"/>
    <n v="18"/>
  </r>
  <r>
    <n v="100072"/>
    <x v="71"/>
    <s v="Customer_72"/>
    <x v="0"/>
    <x v="71"/>
    <x v="1"/>
    <x v="71"/>
    <n v="320945.38"/>
    <n v="7.47"/>
    <n v="146798.45000000001"/>
    <x v="8"/>
    <n v="6746.73"/>
    <x v="2"/>
    <n v="18"/>
  </r>
  <r>
    <n v="100073"/>
    <x v="72"/>
    <s v="Customer_73"/>
    <x v="1"/>
    <x v="72"/>
    <x v="1"/>
    <x v="72"/>
    <n v="400977.94"/>
    <n v="5.56"/>
    <n v="57903.95"/>
    <x v="8"/>
    <n v="9284.0300000000007"/>
    <x v="4"/>
    <n v="18"/>
  </r>
  <r>
    <n v="100074"/>
    <x v="73"/>
    <s v="Customer_74"/>
    <x v="2"/>
    <x v="73"/>
    <x v="1"/>
    <x v="73"/>
    <n v="204025.53"/>
    <n v="4.2"/>
    <n v="461903.65"/>
    <x v="1"/>
    <n v="18238.45"/>
    <x v="1"/>
    <n v="18"/>
  </r>
  <r>
    <n v="100075"/>
    <x v="74"/>
    <s v="Customer_75"/>
    <x v="1"/>
    <x v="74"/>
    <x v="1"/>
    <x v="74"/>
    <n v="458394.13"/>
    <n v="8.67"/>
    <n v="137994.21"/>
    <x v="12"/>
    <n v="38322.120000000003"/>
    <x v="0"/>
    <n v="18"/>
  </r>
  <r>
    <n v="100076"/>
    <x v="75"/>
    <s v="Customer_76"/>
    <x v="1"/>
    <x v="75"/>
    <x v="1"/>
    <x v="75"/>
    <n v="271184.14"/>
    <n v="3.49"/>
    <n v="760965.13"/>
    <x v="17"/>
    <n v="25847.040000000001"/>
    <x v="3"/>
    <n v="18"/>
  </r>
  <r>
    <n v="100077"/>
    <x v="76"/>
    <s v="Customer_77"/>
    <x v="2"/>
    <x v="76"/>
    <x v="1"/>
    <x v="76"/>
    <n v="87397.86"/>
    <n v="9.74"/>
    <n v="918821.23"/>
    <x v="10"/>
    <n v="32257.19"/>
    <x v="4"/>
    <n v="18"/>
  </r>
  <r>
    <n v="100078"/>
    <x v="77"/>
    <s v="Customer_78"/>
    <x v="2"/>
    <x v="77"/>
    <x v="0"/>
    <x v="77"/>
    <n v="350990.57"/>
    <n v="5.86"/>
    <n v="462319.92"/>
    <x v="5"/>
    <n v="49273.55"/>
    <x v="3"/>
    <n v="18"/>
  </r>
  <r>
    <n v="100079"/>
    <x v="78"/>
    <s v="Customer_79"/>
    <x v="2"/>
    <x v="78"/>
    <x v="0"/>
    <x v="78"/>
    <n v="398698.06"/>
    <n v="3"/>
    <n v="295776.06"/>
    <x v="9"/>
    <n v="38632.269999999997"/>
    <x v="2"/>
    <n v="18"/>
  </r>
  <r>
    <n v="100080"/>
    <x v="79"/>
    <s v="Customer_80"/>
    <x v="0"/>
    <x v="79"/>
    <x v="0"/>
    <x v="79"/>
    <n v="165213.22"/>
    <n v="7.6"/>
    <n v="462683.15"/>
    <x v="7"/>
    <n v="22283.71"/>
    <x v="0"/>
    <n v="18"/>
  </r>
  <r>
    <n v="100081"/>
    <x v="80"/>
    <s v="Customer_81"/>
    <x v="2"/>
    <x v="80"/>
    <x v="0"/>
    <x v="80"/>
    <n v="430017.84"/>
    <n v="3.42"/>
    <n v="737275.43"/>
    <x v="2"/>
    <n v="22875.65"/>
    <x v="0"/>
    <n v="18"/>
  </r>
  <r>
    <n v="100082"/>
    <x v="81"/>
    <s v="Customer_82"/>
    <x v="1"/>
    <x v="81"/>
    <x v="1"/>
    <x v="81"/>
    <n v="454010.19"/>
    <n v="5.49"/>
    <n v="58601.45"/>
    <x v="10"/>
    <n v="31319.83"/>
    <x v="4"/>
    <n v="18"/>
  </r>
  <r>
    <n v="100083"/>
    <x v="82"/>
    <s v="Customer_83"/>
    <x v="2"/>
    <x v="82"/>
    <x v="1"/>
    <x v="82"/>
    <n v="145683.20000000001"/>
    <n v="9.36"/>
    <n v="609981.29"/>
    <x v="12"/>
    <n v="33602.9"/>
    <x v="0"/>
    <n v="18"/>
  </r>
  <r>
    <n v="100084"/>
    <x v="83"/>
    <s v="Customer_84"/>
    <x v="1"/>
    <x v="83"/>
    <x v="1"/>
    <x v="83"/>
    <n v="491925.52"/>
    <n v="3.56"/>
    <n v="632627.1"/>
    <x v="12"/>
    <n v="25534.84"/>
    <x v="4"/>
    <n v="18"/>
  </r>
  <r>
    <n v="100085"/>
    <x v="84"/>
    <s v="Customer_85"/>
    <x v="0"/>
    <x v="84"/>
    <x v="0"/>
    <x v="84"/>
    <n v="78948.649999999994"/>
    <n v="10.55"/>
    <n v="655803.82999999996"/>
    <x v="0"/>
    <n v="32598.2"/>
    <x v="4"/>
    <n v="18"/>
  </r>
  <r>
    <n v="100086"/>
    <x v="85"/>
    <s v="Customer_86"/>
    <x v="1"/>
    <x v="85"/>
    <x v="1"/>
    <x v="85"/>
    <n v="108987.68"/>
    <n v="3.03"/>
    <n v="279920.98"/>
    <x v="0"/>
    <n v="2153.09"/>
    <x v="3"/>
    <n v="18"/>
  </r>
  <r>
    <n v="100087"/>
    <x v="86"/>
    <s v="Customer_87"/>
    <x v="1"/>
    <x v="86"/>
    <x v="1"/>
    <x v="86"/>
    <n v="100270.17"/>
    <n v="5.22"/>
    <n v="728350.09"/>
    <x v="10"/>
    <n v="22051.52"/>
    <x v="0"/>
    <n v="18"/>
  </r>
  <r>
    <n v="100088"/>
    <x v="87"/>
    <s v="Customer_88"/>
    <x v="2"/>
    <x v="87"/>
    <x v="1"/>
    <x v="87"/>
    <n v="448054.96"/>
    <n v="9.67"/>
    <n v="136821.91"/>
    <x v="13"/>
    <n v="14667.97"/>
    <x v="4"/>
    <n v="18"/>
  </r>
  <r>
    <n v="100089"/>
    <x v="88"/>
    <s v="Customer_89"/>
    <x v="2"/>
    <x v="88"/>
    <x v="0"/>
    <x v="88"/>
    <n v="330603.34999999998"/>
    <n v="5.85"/>
    <n v="239306.82"/>
    <x v="14"/>
    <n v="7329.55"/>
    <x v="3"/>
    <n v="18"/>
  </r>
  <r>
    <n v="100090"/>
    <x v="89"/>
    <s v="Customer_90"/>
    <x v="1"/>
    <x v="89"/>
    <x v="1"/>
    <x v="89"/>
    <n v="84531.1"/>
    <n v="3.92"/>
    <n v="883596.54"/>
    <x v="12"/>
    <n v="5877.78"/>
    <x v="1"/>
    <n v="18"/>
  </r>
  <r>
    <n v="100091"/>
    <x v="90"/>
    <s v="Customer_91"/>
    <x v="2"/>
    <x v="90"/>
    <x v="0"/>
    <x v="90"/>
    <n v="225758.48"/>
    <n v="6.24"/>
    <n v="751786.99"/>
    <x v="2"/>
    <n v="30556.42"/>
    <x v="3"/>
    <n v="18"/>
  </r>
  <r>
    <n v="100092"/>
    <x v="91"/>
    <s v="Customer_92"/>
    <x v="0"/>
    <x v="91"/>
    <x v="0"/>
    <x v="91"/>
    <n v="311496.03000000003"/>
    <n v="5.43"/>
    <n v="63058.28"/>
    <x v="2"/>
    <n v="26656.43"/>
    <x v="3"/>
    <n v="18"/>
  </r>
  <r>
    <n v="100093"/>
    <x v="92"/>
    <s v="Customer_93"/>
    <x v="0"/>
    <x v="92"/>
    <x v="0"/>
    <x v="92"/>
    <n v="50897.4"/>
    <n v="10.58"/>
    <n v="285957.45"/>
    <x v="12"/>
    <n v="13425.62"/>
    <x v="4"/>
    <n v="18"/>
  </r>
  <r>
    <n v="100094"/>
    <x v="93"/>
    <s v="Customer_94"/>
    <x v="2"/>
    <x v="93"/>
    <x v="0"/>
    <x v="93"/>
    <n v="442384.02"/>
    <n v="5.82"/>
    <n v="253686.16"/>
    <x v="5"/>
    <n v="24076.55"/>
    <x v="2"/>
    <n v="18"/>
  </r>
  <r>
    <n v="100095"/>
    <x v="94"/>
    <s v="Customer_95"/>
    <x v="0"/>
    <x v="94"/>
    <x v="1"/>
    <x v="94"/>
    <n v="403765.73"/>
    <n v="10.1"/>
    <n v="307266.01"/>
    <x v="0"/>
    <n v="25119.38"/>
    <x v="2"/>
    <n v="18"/>
  </r>
  <r>
    <n v="100096"/>
    <x v="95"/>
    <s v="Customer_96"/>
    <x v="2"/>
    <x v="95"/>
    <x v="0"/>
    <x v="95"/>
    <n v="257551.32"/>
    <n v="11.03"/>
    <n v="285181.78000000003"/>
    <x v="6"/>
    <n v="10555.44"/>
    <x v="2"/>
    <n v="18"/>
  </r>
  <r>
    <n v="100097"/>
    <x v="96"/>
    <s v="Customer_97"/>
    <x v="1"/>
    <x v="96"/>
    <x v="0"/>
    <x v="96"/>
    <n v="483892.04"/>
    <n v="6.9"/>
    <n v="109399.98"/>
    <x v="0"/>
    <n v="32952.559999999998"/>
    <x v="3"/>
    <n v="18"/>
  </r>
  <r>
    <n v="100098"/>
    <x v="97"/>
    <s v="Customer_98"/>
    <x v="1"/>
    <x v="97"/>
    <x v="1"/>
    <x v="97"/>
    <n v="214702.88"/>
    <n v="11.19"/>
    <n v="485993.49"/>
    <x v="3"/>
    <n v="39265.050000000003"/>
    <x v="4"/>
    <n v="18"/>
  </r>
  <r>
    <n v="100099"/>
    <x v="98"/>
    <s v="Customer_99"/>
    <x v="0"/>
    <x v="98"/>
    <x v="1"/>
    <x v="98"/>
    <n v="492214.06"/>
    <n v="6.4"/>
    <n v="746096.8"/>
    <x v="8"/>
    <n v="39781.71"/>
    <x v="0"/>
    <n v="18"/>
  </r>
  <r>
    <n v="100100"/>
    <x v="99"/>
    <s v="Customer_100"/>
    <x v="2"/>
    <x v="99"/>
    <x v="0"/>
    <x v="99"/>
    <n v="337280.8"/>
    <n v="11.68"/>
    <n v="626395.14"/>
    <x v="1"/>
    <n v="30521.02"/>
    <x v="3"/>
    <n v="18"/>
  </r>
  <r>
    <n v="100101"/>
    <x v="100"/>
    <s v="Customer_101"/>
    <x v="2"/>
    <x v="100"/>
    <x v="1"/>
    <x v="100"/>
    <n v="320988.92"/>
    <n v="3.8"/>
    <n v="689228.09"/>
    <x v="16"/>
    <n v="26070.29"/>
    <x v="3"/>
    <n v="18"/>
  </r>
  <r>
    <n v="100102"/>
    <x v="101"/>
    <s v="Customer_102"/>
    <x v="0"/>
    <x v="101"/>
    <x v="0"/>
    <x v="101"/>
    <n v="91317.9"/>
    <n v="9.18"/>
    <n v="127091.72"/>
    <x v="7"/>
    <n v="3989.35"/>
    <x v="4"/>
    <n v="18"/>
  </r>
  <r>
    <n v="100103"/>
    <x v="102"/>
    <s v="Customer_103"/>
    <x v="1"/>
    <x v="102"/>
    <x v="0"/>
    <x v="102"/>
    <n v="442144.6"/>
    <n v="7.44"/>
    <n v="953916.17"/>
    <x v="9"/>
    <n v="15103.73"/>
    <x v="1"/>
    <n v="18"/>
  </r>
  <r>
    <n v="100104"/>
    <x v="103"/>
    <s v="Customer_104"/>
    <x v="0"/>
    <x v="103"/>
    <x v="0"/>
    <x v="103"/>
    <n v="219469.95"/>
    <n v="6.49"/>
    <n v="846567.24"/>
    <x v="10"/>
    <n v="5570.3"/>
    <x v="3"/>
    <n v="18"/>
  </r>
  <r>
    <n v="100105"/>
    <x v="104"/>
    <s v="Customer_105"/>
    <x v="1"/>
    <x v="104"/>
    <x v="0"/>
    <x v="104"/>
    <n v="89494.37"/>
    <n v="8.69"/>
    <n v="814835.8"/>
    <x v="10"/>
    <n v="48227.33"/>
    <x v="1"/>
    <n v="18"/>
  </r>
  <r>
    <n v="100106"/>
    <x v="105"/>
    <s v="Customer_106"/>
    <x v="2"/>
    <x v="105"/>
    <x v="1"/>
    <x v="105"/>
    <n v="16177.68"/>
    <n v="9.33"/>
    <n v="831834.61"/>
    <x v="6"/>
    <n v="7618.93"/>
    <x v="1"/>
    <n v="18"/>
  </r>
  <r>
    <n v="100107"/>
    <x v="106"/>
    <s v="Customer_107"/>
    <x v="1"/>
    <x v="106"/>
    <x v="0"/>
    <x v="106"/>
    <n v="284280.28000000003"/>
    <n v="3.04"/>
    <n v="936074.98"/>
    <x v="11"/>
    <n v="8437"/>
    <x v="2"/>
    <n v="18"/>
  </r>
  <r>
    <n v="100108"/>
    <x v="107"/>
    <s v="Customer_108"/>
    <x v="0"/>
    <x v="107"/>
    <x v="1"/>
    <x v="107"/>
    <n v="268425.81"/>
    <n v="4.5"/>
    <n v="567041.27"/>
    <x v="8"/>
    <n v="44589.25"/>
    <x v="4"/>
    <n v="18"/>
  </r>
  <r>
    <n v="100109"/>
    <x v="108"/>
    <s v="Customer_109"/>
    <x v="2"/>
    <x v="108"/>
    <x v="1"/>
    <x v="108"/>
    <n v="362483.27"/>
    <n v="9.42"/>
    <n v="240267.92"/>
    <x v="10"/>
    <n v="47252.49"/>
    <x v="1"/>
    <n v="18"/>
  </r>
  <r>
    <n v="100110"/>
    <x v="109"/>
    <s v="Customer_110"/>
    <x v="0"/>
    <x v="109"/>
    <x v="1"/>
    <x v="109"/>
    <n v="446226.45"/>
    <n v="9"/>
    <n v="635944.43000000005"/>
    <x v="8"/>
    <n v="38525.620000000003"/>
    <x v="4"/>
    <n v="18"/>
  </r>
  <r>
    <n v="100111"/>
    <x v="110"/>
    <s v="Customer_111"/>
    <x v="0"/>
    <x v="110"/>
    <x v="1"/>
    <x v="110"/>
    <n v="48909.23"/>
    <n v="11.69"/>
    <n v="755737.42"/>
    <x v="9"/>
    <n v="1264.8399999999999"/>
    <x v="2"/>
    <n v="18"/>
  </r>
  <r>
    <n v="100112"/>
    <x v="111"/>
    <s v="Customer_112"/>
    <x v="1"/>
    <x v="111"/>
    <x v="0"/>
    <x v="111"/>
    <n v="368433.28"/>
    <n v="9.85"/>
    <n v="751021.52"/>
    <x v="15"/>
    <n v="1065.97"/>
    <x v="4"/>
    <n v="18"/>
  </r>
  <r>
    <n v="100113"/>
    <x v="112"/>
    <s v="Customer_113"/>
    <x v="0"/>
    <x v="112"/>
    <x v="1"/>
    <x v="112"/>
    <n v="101831.85"/>
    <n v="11.56"/>
    <n v="545376.56999999995"/>
    <x v="15"/>
    <n v="19526.939999999999"/>
    <x v="3"/>
    <n v="18"/>
  </r>
  <r>
    <n v="100114"/>
    <x v="113"/>
    <s v="Customer_114"/>
    <x v="1"/>
    <x v="113"/>
    <x v="0"/>
    <x v="113"/>
    <n v="430506.76"/>
    <n v="9.32"/>
    <n v="115035.78"/>
    <x v="18"/>
    <n v="8026.37"/>
    <x v="1"/>
    <n v="18"/>
  </r>
  <r>
    <n v="100115"/>
    <x v="114"/>
    <s v="Customer_115"/>
    <x v="2"/>
    <x v="114"/>
    <x v="1"/>
    <x v="114"/>
    <n v="411341.12"/>
    <n v="5.68"/>
    <n v="402557.29"/>
    <x v="10"/>
    <n v="1900.92"/>
    <x v="4"/>
    <n v="18"/>
  </r>
  <r>
    <n v="100116"/>
    <x v="115"/>
    <s v="Customer_116"/>
    <x v="1"/>
    <x v="115"/>
    <x v="1"/>
    <x v="115"/>
    <n v="274988.94"/>
    <n v="3.95"/>
    <n v="924728.28"/>
    <x v="8"/>
    <n v="23739.27"/>
    <x v="0"/>
    <n v="18"/>
  </r>
  <r>
    <n v="100117"/>
    <x v="116"/>
    <s v="Customer_117"/>
    <x v="2"/>
    <x v="116"/>
    <x v="0"/>
    <x v="116"/>
    <n v="358018.97"/>
    <n v="10.039999999999999"/>
    <n v="605226.46"/>
    <x v="2"/>
    <n v="47210.03"/>
    <x v="4"/>
    <n v="18"/>
  </r>
  <r>
    <n v="100118"/>
    <x v="117"/>
    <s v="Customer_118"/>
    <x v="1"/>
    <x v="117"/>
    <x v="0"/>
    <x v="117"/>
    <n v="164031.56"/>
    <n v="8.8000000000000007"/>
    <n v="561415.35"/>
    <x v="11"/>
    <n v="16867.16"/>
    <x v="1"/>
    <n v="18"/>
  </r>
  <r>
    <n v="100119"/>
    <x v="118"/>
    <s v="Customer_119"/>
    <x v="0"/>
    <x v="118"/>
    <x v="0"/>
    <x v="118"/>
    <n v="240872.27"/>
    <n v="3.43"/>
    <n v="305410.84000000003"/>
    <x v="10"/>
    <n v="33395.89"/>
    <x v="2"/>
    <n v="18"/>
  </r>
  <r>
    <n v="100120"/>
    <x v="119"/>
    <s v="Customer_120"/>
    <x v="1"/>
    <x v="119"/>
    <x v="1"/>
    <x v="119"/>
    <n v="412602.08"/>
    <n v="6.24"/>
    <n v="400026.47"/>
    <x v="5"/>
    <n v="32959.53"/>
    <x v="2"/>
    <n v="18"/>
  </r>
  <r>
    <n v="100121"/>
    <x v="120"/>
    <s v="Customer_121"/>
    <x v="1"/>
    <x v="120"/>
    <x v="1"/>
    <x v="120"/>
    <n v="235039.95"/>
    <n v="11.61"/>
    <n v="900578.78"/>
    <x v="2"/>
    <n v="13302.93"/>
    <x v="1"/>
    <n v="18"/>
  </r>
  <r>
    <n v="100122"/>
    <x v="121"/>
    <s v="Customer_122"/>
    <x v="2"/>
    <x v="121"/>
    <x v="0"/>
    <x v="121"/>
    <n v="185321.15"/>
    <n v="7.5"/>
    <n v="683139.9"/>
    <x v="2"/>
    <n v="32870.839999999997"/>
    <x v="3"/>
    <n v="18"/>
  </r>
  <r>
    <n v="100123"/>
    <x v="122"/>
    <s v="Customer_123"/>
    <x v="0"/>
    <x v="122"/>
    <x v="0"/>
    <x v="122"/>
    <n v="252164.1"/>
    <n v="6.89"/>
    <n v="798017.68"/>
    <x v="18"/>
    <n v="11404.36"/>
    <x v="3"/>
    <n v="18"/>
  </r>
  <r>
    <n v="100124"/>
    <x v="123"/>
    <s v="Customer_124"/>
    <x v="1"/>
    <x v="123"/>
    <x v="0"/>
    <x v="123"/>
    <n v="415842.13"/>
    <n v="7.12"/>
    <n v="481628.15"/>
    <x v="10"/>
    <n v="6978.36"/>
    <x v="2"/>
    <n v="18"/>
  </r>
  <r>
    <n v="100125"/>
    <x v="124"/>
    <s v="Customer_125"/>
    <x v="0"/>
    <x v="124"/>
    <x v="0"/>
    <x v="124"/>
    <n v="174251.94"/>
    <n v="4.88"/>
    <n v="648734.86"/>
    <x v="7"/>
    <n v="35367.78"/>
    <x v="2"/>
    <n v="18"/>
  </r>
  <r>
    <n v="100126"/>
    <x v="125"/>
    <s v="Customer_126"/>
    <x v="1"/>
    <x v="125"/>
    <x v="1"/>
    <x v="125"/>
    <n v="95143.18"/>
    <n v="6.32"/>
    <n v="285964.43"/>
    <x v="1"/>
    <n v="6558.6"/>
    <x v="1"/>
    <n v="18"/>
  </r>
  <r>
    <n v="100127"/>
    <x v="126"/>
    <s v="Customer_127"/>
    <x v="1"/>
    <x v="126"/>
    <x v="0"/>
    <x v="126"/>
    <n v="358886.87"/>
    <n v="6.33"/>
    <n v="720187.79"/>
    <x v="8"/>
    <n v="49848.55"/>
    <x v="3"/>
    <n v="18"/>
  </r>
  <r>
    <n v="100128"/>
    <x v="127"/>
    <s v="Customer_128"/>
    <x v="0"/>
    <x v="127"/>
    <x v="0"/>
    <x v="127"/>
    <n v="414729.32"/>
    <n v="3.47"/>
    <n v="456221.27"/>
    <x v="14"/>
    <n v="9989.17"/>
    <x v="2"/>
    <n v="18"/>
  </r>
  <r>
    <n v="100129"/>
    <x v="128"/>
    <s v="Customer_129"/>
    <x v="1"/>
    <x v="128"/>
    <x v="0"/>
    <x v="128"/>
    <n v="59312.36"/>
    <n v="9.91"/>
    <n v="470418.24"/>
    <x v="13"/>
    <n v="30112.95"/>
    <x v="3"/>
    <n v="18"/>
  </r>
  <r>
    <n v="100130"/>
    <x v="129"/>
    <s v="Customer_130"/>
    <x v="0"/>
    <x v="129"/>
    <x v="0"/>
    <x v="129"/>
    <n v="127538.32"/>
    <n v="6.75"/>
    <n v="666856.21"/>
    <x v="11"/>
    <n v="21157.35"/>
    <x v="2"/>
    <n v="18"/>
  </r>
  <r>
    <n v="100131"/>
    <x v="130"/>
    <s v="Customer_131"/>
    <x v="1"/>
    <x v="130"/>
    <x v="1"/>
    <x v="130"/>
    <n v="79566.27"/>
    <n v="10.4"/>
    <n v="939466.59"/>
    <x v="8"/>
    <n v="7192.93"/>
    <x v="4"/>
    <n v="18"/>
  </r>
  <r>
    <n v="100132"/>
    <x v="131"/>
    <s v="Customer_132"/>
    <x v="2"/>
    <x v="131"/>
    <x v="0"/>
    <x v="131"/>
    <n v="180491.29"/>
    <n v="10.65"/>
    <n v="110806.03"/>
    <x v="7"/>
    <n v="2364.35"/>
    <x v="0"/>
    <n v="18"/>
  </r>
  <r>
    <n v="100133"/>
    <x v="132"/>
    <s v="Customer_133"/>
    <x v="0"/>
    <x v="132"/>
    <x v="1"/>
    <x v="132"/>
    <n v="230671.98"/>
    <n v="4.91"/>
    <n v="833506.08"/>
    <x v="10"/>
    <n v="31513.88"/>
    <x v="4"/>
    <n v="18"/>
  </r>
  <r>
    <n v="100134"/>
    <x v="133"/>
    <s v="Customer_134"/>
    <x v="1"/>
    <x v="133"/>
    <x v="0"/>
    <x v="133"/>
    <n v="376924.91"/>
    <n v="8.92"/>
    <n v="327763.95"/>
    <x v="11"/>
    <n v="40531.120000000003"/>
    <x v="2"/>
    <n v="18"/>
  </r>
  <r>
    <n v="100135"/>
    <x v="134"/>
    <s v="Customer_135"/>
    <x v="1"/>
    <x v="134"/>
    <x v="0"/>
    <x v="134"/>
    <n v="329062.32"/>
    <n v="7.25"/>
    <n v="471723.48"/>
    <x v="5"/>
    <n v="42258.77"/>
    <x v="0"/>
    <n v="18"/>
  </r>
  <r>
    <n v="100136"/>
    <x v="135"/>
    <s v="Customer_136"/>
    <x v="2"/>
    <x v="135"/>
    <x v="1"/>
    <x v="135"/>
    <n v="314255"/>
    <n v="10.92"/>
    <n v="70817.66"/>
    <x v="11"/>
    <n v="24652.959999999999"/>
    <x v="0"/>
    <n v="18"/>
  </r>
  <r>
    <n v="100137"/>
    <x v="136"/>
    <s v="Customer_137"/>
    <x v="0"/>
    <x v="136"/>
    <x v="0"/>
    <x v="136"/>
    <n v="182663.72"/>
    <n v="4.9400000000000004"/>
    <n v="335993.77"/>
    <x v="10"/>
    <n v="39095.32"/>
    <x v="2"/>
    <n v="18"/>
  </r>
  <r>
    <n v="100138"/>
    <x v="137"/>
    <s v="Customer_138"/>
    <x v="1"/>
    <x v="137"/>
    <x v="1"/>
    <x v="137"/>
    <n v="422309.3"/>
    <n v="9.1"/>
    <n v="527499.68000000005"/>
    <x v="4"/>
    <n v="33969.51"/>
    <x v="2"/>
    <n v="18"/>
  </r>
  <r>
    <n v="100139"/>
    <x v="138"/>
    <s v="Customer_139"/>
    <x v="2"/>
    <x v="138"/>
    <x v="1"/>
    <x v="138"/>
    <n v="240930.71"/>
    <n v="8.4700000000000006"/>
    <n v="103367.27"/>
    <x v="14"/>
    <n v="36488.47"/>
    <x v="3"/>
    <n v="18"/>
  </r>
  <r>
    <n v="100140"/>
    <x v="139"/>
    <s v="Customer_140"/>
    <x v="1"/>
    <x v="139"/>
    <x v="0"/>
    <x v="139"/>
    <n v="489761.42"/>
    <n v="5.66"/>
    <n v="516540.94"/>
    <x v="8"/>
    <n v="25137.35"/>
    <x v="2"/>
    <n v="18"/>
  </r>
  <r>
    <n v="100141"/>
    <x v="140"/>
    <s v="Customer_141"/>
    <x v="0"/>
    <x v="140"/>
    <x v="1"/>
    <x v="140"/>
    <n v="320729.65000000002"/>
    <n v="4.2300000000000004"/>
    <n v="930755.1"/>
    <x v="2"/>
    <n v="32037.18"/>
    <x v="1"/>
    <n v="18"/>
  </r>
  <r>
    <n v="100142"/>
    <x v="141"/>
    <s v="Customer_142"/>
    <x v="1"/>
    <x v="141"/>
    <x v="1"/>
    <x v="141"/>
    <n v="71869.72"/>
    <n v="8.86"/>
    <n v="150123.56"/>
    <x v="17"/>
    <n v="40470.769999999997"/>
    <x v="2"/>
    <n v="18"/>
  </r>
  <r>
    <n v="100143"/>
    <x v="142"/>
    <s v="Customer_143"/>
    <x v="1"/>
    <x v="142"/>
    <x v="1"/>
    <x v="142"/>
    <n v="341327.01"/>
    <n v="9.65"/>
    <n v="776218.69"/>
    <x v="18"/>
    <n v="20496.32"/>
    <x v="1"/>
    <n v="18"/>
  </r>
  <r>
    <n v="100144"/>
    <x v="143"/>
    <s v="Customer_144"/>
    <x v="1"/>
    <x v="143"/>
    <x v="1"/>
    <x v="143"/>
    <n v="169300.97"/>
    <n v="5.84"/>
    <n v="439187.5"/>
    <x v="16"/>
    <n v="40492.97"/>
    <x v="2"/>
    <n v="18"/>
  </r>
  <r>
    <n v="100145"/>
    <x v="144"/>
    <s v="Customer_145"/>
    <x v="1"/>
    <x v="144"/>
    <x v="1"/>
    <x v="144"/>
    <n v="346300.33"/>
    <n v="8.8000000000000007"/>
    <n v="672415.03"/>
    <x v="6"/>
    <n v="30008.83"/>
    <x v="3"/>
    <n v="18"/>
  </r>
  <r>
    <n v="100146"/>
    <x v="145"/>
    <s v="Customer_146"/>
    <x v="2"/>
    <x v="145"/>
    <x v="1"/>
    <x v="145"/>
    <n v="44124.160000000003"/>
    <n v="6.56"/>
    <n v="297224.77"/>
    <x v="3"/>
    <n v="9129.15"/>
    <x v="1"/>
    <n v="18"/>
  </r>
  <r>
    <n v="100147"/>
    <x v="146"/>
    <s v="Customer_147"/>
    <x v="2"/>
    <x v="146"/>
    <x v="1"/>
    <x v="146"/>
    <n v="95691.9"/>
    <n v="9.42"/>
    <n v="201517.65"/>
    <x v="15"/>
    <n v="2209.52"/>
    <x v="4"/>
    <n v="18"/>
  </r>
  <r>
    <n v="100148"/>
    <x v="147"/>
    <s v="Customer_148"/>
    <x v="0"/>
    <x v="147"/>
    <x v="1"/>
    <x v="147"/>
    <n v="429311.26"/>
    <n v="4.79"/>
    <n v="202439.48"/>
    <x v="16"/>
    <n v="18774.93"/>
    <x v="1"/>
    <n v="18"/>
  </r>
  <r>
    <n v="100149"/>
    <x v="148"/>
    <s v="Customer_149"/>
    <x v="2"/>
    <x v="148"/>
    <x v="0"/>
    <x v="148"/>
    <n v="121317.98"/>
    <n v="11.01"/>
    <n v="116967.35"/>
    <x v="18"/>
    <n v="27788.12"/>
    <x v="3"/>
    <n v="18"/>
  </r>
  <r>
    <n v="100150"/>
    <x v="149"/>
    <s v="Customer_150"/>
    <x v="2"/>
    <x v="149"/>
    <x v="0"/>
    <x v="149"/>
    <n v="420150.15"/>
    <n v="5.59"/>
    <n v="226364.37"/>
    <x v="15"/>
    <n v="42151.199999999997"/>
    <x v="1"/>
    <n v="18"/>
  </r>
  <r>
    <n v="100151"/>
    <x v="150"/>
    <s v="Customer_151"/>
    <x v="0"/>
    <x v="150"/>
    <x v="1"/>
    <x v="150"/>
    <n v="146845.28"/>
    <n v="6.31"/>
    <n v="681008.42"/>
    <x v="3"/>
    <n v="7246.8"/>
    <x v="2"/>
    <n v="18"/>
  </r>
  <r>
    <n v="100152"/>
    <x v="151"/>
    <s v="Customer_152"/>
    <x v="2"/>
    <x v="151"/>
    <x v="0"/>
    <x v="151"/>
    <n v="325012.14"/>
    <n v="3.52"/>
    <n v="887606.08"/>
    <x v="0"/>
    <n v="40210.11"/>
    <x v="2"/>
    <n v="18"/>
  </r>
  <r>
    <n v="100153"/>
    <x v="152"/>
    <s v="Customer_153"/>
    <x v="2"/>
    <x v="152"/>
    <x v="1"/>
    <x v="152"/>
    <n v="350133.78"/>
    <n v="4"/>
    <n v="823419.4"/>
    <x v="4"/>
    <n v="43287.44"/>
    <x v="3"/>
    <n v="18"/>
  </r>
  <r>
    <n v="100154"/>
    <x v="153"/>
    <s v="Customer_154"/>
    <x v="0"/>
    <x v="153"/>
    <x v="1"/>
    <x v="153"/>
    <n v="261200.83"/>
    <n v="7.64"/>
    <n v="700877.59"/>
    <x v="13"/>
    <n v="8383.69"/>
    <x v="0"/>
    <n v="18"/>
  </r>
  <r>
    <n v="100155"/>
    <x v="154"/>
    <s v="Customer_155"/>
    <x v="0"/>
    <x v="154"/>
    <x v="0"/>
    <x v="154"/>
    <n v="159602.23000000001"/>
    <n v="5.41"/>
    <n v="154910.26999999999"/>
    <x v="14"/>
    <n v="42728.12"/>
    <x v="2"/>
    <n v="18"/>
  </r>
  <r>
    <n v="100156"/>
    <x v="155"/>
    <s v="Customer_156"/>
    <x v="0"/>
    <x v="155"/>
    <x v="1"/>
    <x v="155"/>
    <n v="114195.74"/>
    <n v="10.52"/>
    <n v="324728.07"/>
    <x v="16"/>
    <n v="49581.22"/>
    <x v="4"/>
    <n v="18"/>
  </r>
  <r>
    <n v="100157"/>
    <x v="156"/>
    <s v="Customer_157"/>
    <x v="1"/>
    <x v="156"/>
    <x v="1"/>
    <x v="156"/>
    <n v="26262.78"/>
    <n v="3.13"/>
    <n v="344316.53"/>
    <x v="18"/>
    <n v="36615.1"/>
    <x v="3"/>
    <n v="18"/>
  </r>
  <r>
    <n v="100158"/>
    <x v="157"/>
    <s v="Customer_158"/>
    <x v="1"/>
    <x v="157"/>
    <x v="1"/>
    <x v="157"/>
    <n v="158933.74"/>
    <n v="6.41"/>
    <n v="287459.09999999998"/>
    <x v="3"/>
    <n v="39453.71"/>
    <x v="1"/>
    <n v="18"/>
  </r>
  <r>
    <n v="100159"/>
    <x v="158"/>
    <s v="Customer_159"/>
    <x v="0"/>
    <x v="158"/>
    <x v="1"/>
    <x v="158"/>
    <n v="330049.77"/>
    <n v="6.04"/>
    <n v="539255.38"/>
    <x v="15"/>
    <n v="49726.35"/>
    <x v="1"/>
    <n v="18"/>
  </r>
  <r>
    <n v="100160"/>
    <x v="159"/>
    <s v="Customer_160"/>
    <x v="0"/>
    <x v="159"/>
    <x v="0"/>
    <x v="159"/>
    <n v="469769.36"/>
    <n v="3.17"/>
    <n v="558776.12"/>
    <x v="10"/>
    <n v="30668.58"/>
    <x v="4"/>
    <n v="18"/>
  </r>
  <r>
    <n v="100161"/>
    <x v="160"/>
    <s v="Customer_161"/>
    <x v="0"/>
    <x v="160"/>
    <x v="1"/>
    <x v="160"/>
    <n v="436890.2"/>
    <n v="4.12"/>
    <n v="389041.68"/>
    <x v="5"/>
    <n v="16086.43"/>
    <x v="2"/>
    <n v="18"/>
  </r>
  <r>
    <n v="100162"/>
    <x v="161"/>
    <s v="Customer_162"/>
    <x v="1"/>
    <x v="161"/>
    <x v="1"/>
    <x v="161"/>
    <n v="385371.74"/>
    <n v="6.72"/>
    <n v="386099.7"/>
    <x v="2"/>
    <n v="42039.01"/>
    <x v="3"/>
    <n v="18"/>
  </r>
  <r>
    <n v="100163"/>
    <x v="162"/>
    <s v="Customer_163"/>
    <x v="1"/>
    <x v="162"/>
    <x v="1"/>
    <x v="162"/>
    <n v="396339.20000000001"/>
    <n v="7.44"/>
    <n v="837127.82"/>
    <x v="2"/>
    <n v="31109.8"/>
    <x v="4"/>
    <n v="18"/>
  </r>
  <r>
    <n v="100164"/>
    <x v="163"/>
    <s v="Customer_164"/>
    <x v="2"/>
    <x v="163"/>
    <x v="0"/>
    <x v="163"/>
    <n v="335842.6"/>
    <n v="6.64"/>
    <n v="799828.21"/>
    <x v="3"/>
    <n v="29478.58"/>
    <x v="2"/>
    <n v="18"/>
  </r>
  <r>
    <n v="100165"/>
    <x v="164"/>
    <s v="Customer_165"/>
    <x v="2"/>
    <x v="164"/>
    <x v="1"/>
    <x v="164"/>
    <n v="137540.56"/>
    <n v="7.78"/>
    <n v="342406.04"/>
    <x v="15"/>
    <n v="13428.14"/>
    <x v="3"/>
    <n v="18"/>
  </r>
  <r>
    <n v="100166"/>
    <x v="165"/>
    <s v="Customer_166"/>
    <x v="0"/>
    <x v="165"/>
    <x v="0"/>
    <x v="165"/>
    <n v="454525.57"/>
    <n v="8.36"/>
    <n v="918099.02"/>
    <x v="4"/>
    <n v="38060.379999999997"/>
    <x v="1"/>
    <n v="18"/>
  </r>
  <r>
    <n v="100167"/>
    <x v="166"/>
    <s v="Customer_167"/>
    <x v="1"/>
    <x v="166"/>
    <x v="0"/>
    <x v="166"/>
    <n v="338658.83"/>
    <n v="3.09"/>
    <n v="955174.27"/>
    <x v="2"/>
    <n v="5001.7"/>
    <x v="3"/>
    <n v="18"/>
  </r>
  <r>
    <n v="100168"/>
    <x v="167"/>
    <s v="Customer_168"/>
    <x v="1"/>
    <x v="167"/>
    <x v="1"/>
    <x v="167"/>
    <n v="284615.90999999997"/>
    <n v="7.18"/>
    <n v="360405.41"/>
    <x v="6"/>
    <n v="46290.07"/>
    <x v="0"/>
    <n v="18"/>
  </r>
  <r>
    <n v="100169"/>
    <x v="168"/>
    <s v="Customer_169"/>
    <x v="1"/>
    <x v="168"/>
    <x v="1"/>
    <x v="168"/>
    <n v="64384.84"/>
    <n v="11.67"/>
    <n v="386703.7"/>
    <x v="17"/>
    <n v="16965.349999999999"/>
    <x v="3"/>
    <n v="18"/>
  </r>
  <r>
    <n v="100170"/>
    <x v="169"/>
    <s v="Customer_170"/>
    <x v="0"/>
    <x v="169"/>
    <x v="0"/>
    <x v="169"/>
    <n v="229057.22"/>
    <n v="7.67"/>
    <n v="530352.44999999995"/>
    <x v="4"/>
    <n v="7260.96"/>
    <x v="0"/>
    <n v="18"/>
  </r>
  <r>
    <n v="100171"/>
    <x v="170"/>
    <s v="Customer_171"/>
    <x v="2"/>
    <x v="170"/>
    <x v="1"/>
    <x v="170"/>
    <n v="235575.55"/>
    <n v="9.1"/>
    <n v="944064.77"/>
    <x v="7"/>
    <n v="22675.96"/>
    <x v="3"/>
    <n v="18"/>
  </r>
  <r>
    <n v="100172"/>
    <x v="171"/>
    <s v="Customer_172"/>
    <x v="0"/>
    <x v="171"/>
    <x v="0"/>
    <x v="171"/>
    <n v="433636.17"/>
    <n v="5.81"/>
    <n v="882503.46"/>
    <x v="4"/>
    <n v="3081.03"/>
    <x v="0"/>
    <n v="18"/>
  </r>
  <r>
    <n v="100173"/>
    <x v="172"/>
    <s v="Customer_173"/>
    <x v="2"/>
    <x v="172"/>
    <x v="0"/>
    <x v="172"/>
    <n v="277857.63"/>
    <n v="9.9700000000000006"/>
    <n v="147439.56"/>
    <x v="8"/>
    <n v="34546.68"/>
    <x v="1"/>
    <n v="18"/>
  </r>
  <r>
    <n v="100174"/>
    <x v="173"/>
    <s v="Customer_174"/>
    <x v="2"/>
    <x v="173"/>
    <x v="1"/>
    <x v="173"/>
    <n v="196396.27"/>
    <n v="9.9600000000000009"/>
    <n v="423094.21"/>
    <x v="15"/>
    <n v="45232.57"/>
    <x v="2"/>
    <n v="18"/>
  </r>
  <r>
    <n v="100175"/>
    <x v="174"/>
    <s v="Customer_175"/>
    <x v="0"/>
    <x v="174"/>
    <x v="1"/>
    <x v="174"/>
    <n v="488632.16"/>
    <n v="7.69"/>
    <n v="575702.63"/>
    <x v="2"/>
    <n v="42025.89"/>
    <x v="0"/>
    <n v="18"/>
  </r>
  <r>
    <n v="100176"/>
    <x v="175"/>
    <s v="Customer_176"/>
    <x v="2"/>
    <x v="175"/>
    <x v="0"/>
    <x v="175"/>
    <n v="64253.09"/>
    <n v="11.78"/>
    <n v="527975.85"/>
    <x v="12"/>
    <n v="7241.1"/>
    <x v="0"/>
    <n v="18"/>
  </r>
  <r>
    <n v="100177"/>
    <x v="176"/>
    <s v="Customer_177"/>
    <x v="2"/>
    <x v="176"/>
    <x v="0"/>
    <x v="176"/>
    <n v="217048.73"/>
    <n v="4.13"/>
    <n v="234169.91"/>
    <x v="11"/>
    <n v="7187.29"/>
    <x v="1"/>
    <n v="18"/>
  </r>
  <r>
    <n v="100178"/>
    <x v="177"/>
    <s v="Customer_178"/>
    <x v="1"/>
    <x v="177"/>
    <x v="0"/>
    <x v="177"/>
    <n v="30592.09"/>
    <n v="3.15"/>
    <n v="865875.93"/>
    <x v="12"/>
    <n v="40858.29"/>
    <x v="0"/>
    <n v="18"/>
  </r>
  <r>
    <n v="100179"/>
    <x v="178"/>
    <s v="Customer_179"/>
    <x v="2"/>
    <x v="178"/>
    <x v="0"/>
    <x v="178"/>
    <n v="372553.02"/>
    <n v="9.93"/>
    <n v="693093.74"/>
    <x v="1"/>
    <n v="46288.46"/>
    <x v="4"/>
    <n v="18"/>
  </r>
  <r>
    <n v="100180"/>
    <x v="179"/>
    <s v="Customer_180"/>
    <x v="0"/>
    <x v="179"/>
    <x v="1"/>
    <x v="179"/>
    <n v="459857.51"/>
    <n v="10.26"/>
    <n v="846012.96"/>
    <x v="10"/>
    <n v="23572.82"/>
    <x v="1"/>
    <n v="18"/>
  </r>
  <r>
    <n v="100181"/>
    <x v="180"/>
    <s v="Customer_181"/>
    <x v="0"/>
    <x v="180"/>
    <x v="1"/>
    <x v="180"/>
    <n v="147218.29"/>
    <n v="4.08"/>
    <n v="865826.07"/>
    <x v="17"/>
    <n v="25449.58"/>
    <x v="4"/>
    <n v="18"/>
  </r>
  <r>
    <n v="100182"/>
    <x v="181"/>
    <s v="Customer_182"/>
    <x v="2"/>
    <x v="181"/>
    <x v="1"/>
    <x v="181"/>
    <n v="430587.42"/>
    <n v="5.39"/>
    <n v="760938.06"/>
    <x v="2"/>
    <n v="16594.84"/>
    <x v="1"/>
    <n v="18"/>
  </r>
  <r>
    <n v="100183"/>
    <x v="182"/>
    <s v="Customer_183"/>
    <x v="1"/>
    <x v="182"/>
    <x v="1"/>
    <x v="182"/>
    <n v="153186.93"/>
    <n v="3.16"/>
    <n v="467250.07"/>
    <x v="16"/>
    <n v="44818.99"/>
    <x v="0"/>
    <n v="18"/>
  </r>
  <r>
    <n v="100184"/>
    <x v="183"/>
    <s v="Customer_184"/>
    <x v="1"/>
    <x v="183"/>
    <x v="1"/>
    <x v="183"/>
    <n v="456277.38"/>
    <n v="5.64"/>
    <n v="630019.42000000004"/>
    <x v="8"/>
    <n v="32600.240000000002"/>
    <x v="4"/>
    <n v="18"/>
  </r>
  <r>
    <n v="100185"/>
    <x v="184"/>
    <s v="Customer_185"/>
    <x v="2"/>
    <x v="184"/>
    <x v="0"/>
    <x v="184"/>
    <n v="379441.33"/>
    <n v="9.9600000000000009"/>
    <n v="202347.14"/>
    <x v="0"/>
    <n v="15124.33"/>
    <x v="0"/>
    <n v="18"/>
  </r>
  <r>
    <n v="100186"/>
    <x v="185"/>
    <s v="Customer_186"/>
    <x v="2"/>
    <x v="185"/>
    <x v="1"/>
    <x v="185"/>
    <n v="404404.32"/>
    <n v="7.66"/>
    <n v="689963.15"/>
    <x v="17"/>
    <n v="15640.36"/>
    <x v="1"/>
    <n v="18"/>
  </r>
  <r>
    <n v="100187"/>
    <x v="186"/>
    <s v="Customer_187"/>
    <x v="0"/>
    <x v="186"/>
    <x v="1"/>
    <x v="186"/>
    <n v="18823.21"/>
    <n v="6.13"/>
    <n v="220290.59"/>
    <x v="4"/>
    <n v="44668.800000000003"/>
    <x v="0"/>
    <n v="18"/>
  </r>
  <r>
    <n v="100188"/>
    <x v="187"/>
    <s v="Customer_188"/>
    <x v="2"/>
    <x v="187"/>
    <x v="1"/>
    <x v="187"/>
    <n v="481777.07"/>
    <n v="6.35"/>
    <n v="709252.11"/>
    <x v="8"/>
    <n v="1668.07"/>
    <x v="4"/>
    <n v="18"/>
  </r>
  <r>
    <n v="100189"/>
    <x v="188"/>
    <s v="Customer_189"/>
    <x v="1"/>
    <x v="188"/>
    <x v="1"/>
    <x v="188"/>
    <n v="366068.79"/>
    <n v="3.01"/>
    <n v="268118.25"/>
    <x v="17"/>
    <n v="16813.599999999999"/>
    <x v="4"/>
    <n v="18"/>
  </r>
  <r>
    <n v="100190"/>
    <x v="189"/>
    <s v="Customer_190"/>
    <x v="2"/>
    <x v="189"/>
    <x v="1"/>
    <x v="189"/>
    <n v="159328.04"/>
    <n v="5.7"/>
    <n v="161673.74"/>
    <x v="13"/>
    <n v="28163.48"/>
    <x v="0"/>
    <n v="18"/>
  </r>
  <r>
    <n v="100191"/>
    <x v="190"/>
    <s v="Customer_191"/>
    <x v="0"/>
    <x v="190"/>
    <x v="0"/>
    <x v="190"/>
    <n v="416403.39"/>
    <n v="8.82"/>
    <n v="207020.27"/>
    <x v="2"/>
    <n v="8262.66"/>
    <x v="3"/>
    <n v="18"/>
  </r>
  <r>
    <n v="100192"/>
    <x v="191"/>
    <s v="Customer_192"/>
    <x v="0"/>
    <x v="191"/>
    <x v="0"/>
    <x v="191"/>
    <n v="147945.39000000001"/>
    <n v="11.77"/>
    <n v="51892.53"/>
    <x v="17"/>
    <n v="5512.84"/>
    <x v="1"/>
    <n v="18"/>
  </r>
  <r>
    <n v="100193"/>
    <x v="192"/>
    <s v="Customer_193"/>
    <x v="0"/>
    <x v="192"/>
    <x v="0"/>
    <x v="192"/>
    <n v="437649.38"/>
    <n v="10.62"/>
    <n v="732802.64"/>
    <x v="7"/>
    <n v="40948.54"/>
    <x v="1"/>
    <n v="18"/>
  </r>
  <r>
    <n v="100194"/>
    <x v="193"/>
    <s v="Customer_194"/>
    <x v="0"/>
    <x v="193"/>
    <x v="1"/>
    <x v="193"/>
    <n v="65164.39"/>
    <n v="3.21"/>
    <n v="745781"/>
    <x v="8"/>
    <n v="44825.82"/>
    <x v="0"/>
    <n v="18"/>
  </r>
  <r>
    <n v="100195"/>
    <x v="194"/>
    <s v="Customer_195"/>
    <x v="0"/>
    <x v="194"/>
    <x v="0"/>
    <x v="194"/>
    <n v="354806.13"/>
    <n v="11.09"/>
    <n v="539186.68000000005"/>
    <x v="12"/>
    <n v="41356.71"/>
    <x v="3"/>
    <n v="18"/>
  </r>
  <r>
    <n v="100196"/>
    <x v="195"/>
    <s v="Customer_196"/>
    <x v="2"/>
    <x v="195"/>
    <x v="0"/>
    <x v="195"/>
    <n v="274942.25"/>
    <n v="10.050000000000001"/>
    <n v="203294.66"/>
    <x v="17"/>
    <n v="45040.61"/>
    <x v="4"/>
    <n v="18"/>
  </r>
  <r>
    <n v="100197"/>
    <x v="196"/>
    <s v="Customer_197"/>
    <x v="2"/>
    <x v="196"/>
    <x v="1"/>
    <x v="196"/>
    <n v="57301.89"/>
    <n v="10.02"/>
    <n v="129376.62"/>
    <x v="12"/>
    <n v="28102.49"/>
    <x v="2"/>
    <n v="18"/>
  </r>
  <r>
    <n v="100198"/>
    <x v="197"/>
    <s v="Customer_198"/>
    <x v="2"/>
    <x v="197"/>
    <x v="1"/>
    <x v="197"/>
    <n v="128527.98"/>
    <n v="7.12"/>
    <n v="68172.52"/>
    <x v="13"/>
    <n v="40800.65"/>
    <x v="2"/>
    <n v="18"/>
  </r>
  <r>
    <n v="100199"/>
    <x v="198"/>
    <s v="Customer_199"/>
    <x v="2"/>
    <x v="198"/>
    <x v="1"/>
    <x v="198"/>
    <n v="16077.98"/>
    <n v="6.58"/>
    <n v="207460.77"/>
    <x v="12"/>
    <n v="19818.09"/>
    <x v="0"/>
    <n v="18"/>
  </r>
  <r>
    <n v="100200"/>
    <x v="199"/>
    <s v="Customer_200"/>
    <x v="0"/>
    <x v="199"/>
    <x v="0"/>
    <x v="199"/>
    <n v="239696.3"/>
    <n v="5.73"/>
    <n v="896312.76"/>
    <x v="1"/>
    <n v="33647.129999999997"/>
    <x v="3"/>
    <n v="18"/>
  </r>
  <r>
    <n v="100201"/>
    <x v="200"/>
    <s v="Customer_201"/>
    <x v="1"/>
    <x v="200"/>
    <x v="0"/>
    <x v="200"/>
    <n v="157619.98000000001"/>
    <n v="3.59"/>
    <n v="279460"/>
    <x v="17"/>
    <n v="49452.94"/>
    <x v="3"/>
    <n v="18"/>
  </r>
  <r>
    <n v="100202"/>
    <x v="201"/>
    <s v="Customer_202"/>
    <x v="2"/>
    <x v="201"/>
    <x v="1"/>
    <x v="201"/>
    <n v="303195.17"/>
    <n v="5.05"/>
    <n v="386557.76"/>
    <x v="9"/>
    <n v="12060.66"/>
    <x v="1"/>
    <n v="18"/>
  </r>
  <r>
    <n v="100203"/>
    <x v="202"/>
    <s v="Customer_203"/>
    <x v="1"/>
    <x v="202"/>
    <x v="1"/>
    <x v="202"/>
    <n v="155646.53"/>
    <n v="5.22"/>
    <n v="150078.21"/>
    <x v="8"/>
    <n v="20105.09"/>
    <x v="4"/>
    <n v="18"/>
  </r>
  <r>
    <n v="100204"/>
    <x v="203"/>
    <s v="Customer_204"/>
    <x v="2"/>
    <x v="203"/>
    <x v="0"/>
    <x v="203"/>
    <n v="156960.35999999999"/>
    <n v="7.36"/>
    <n v="261243.24"/>
    <x v="4"/>
    <n v="24522.32"/>
    <x v="3"/>
    <n v="18"/>
  </r>
  <r>
    <n v="100205"/>
    <x v="204"/>
    <s v="Customer_205"/>
    <x v="2"/>
    <x v="204"/>
    <x v="0"/>
    <x v="204"/>
    <n v="374164.67"/>
    <n v="9.73"/>
    <n v="543263.34"/>
    <x v="9"/>
    <n v="7762.76"/>
    <x v="2"/>
    <n v="18"/>
  </r>
  <r>
    <n v="100206"/>
    <x v="205"/>
    <s v="Customer_206"/>
    <x v="1"/>
    <x v="205"/>
    <x v="1"/>
    <x v="205"/>
    <n v="33589.99"/>
    <n v="7.26"/>
    <n v="627365.05000000005"/>
    <x v="10"/>
    <n v="4970.8900000000003"/>
    <x v="4"/>
    <n v="18"/>
  </r>
  <r>
    <n v="100207"/>
    <x v="206"/>
    <s v="Customer_207"/>
    <x v="0"/>
    <x v="206"/>
    <x v="1"/>
    <x v="206"/>
    <n v="452418.55"/>
    <n v="3.52"/>
    <n v="283084.7"/>
    <x v="8"/>
    <n v="41656.42"/>
    <x v="4"/>
    <n v="18"/>
  </r>
  <r>
    <n v="100208"/>
    <x v="207"/>
    <s v="Customer_208"/>
    <x v="2"/>
    <x v="207"/>
    <x v="0"/>
    <x v="207"/>
    <n v="427609.3"/>
    <n v="11.62"/>
    <n v="104845.55"/>
    <x v="16"/>
    <n v="48862.92"/>
    <x v="0"/>
    <n v="18"/>
  </r>
  <r>
    <n v="100209"/>
    <x v="208"/>
    <s v="Customer_209"/>
    <x v="2"/>
    <x v="208"/>
    <x v="1"/>
    <x v="208"/>
    <n v="337224.29"/>
    <n v="11.48"/>
    <n v="421481.23"/>
    <x v="9"/>
    <n v="20831.53"/>
    <x v="3"/>
    <n v="18"/>
  </r>
  <r>
    <n v="100210"/>
    <x v="209"/>
    <s v="Customer_210"/>
    <x v="2"/>
    <x v="209"/>
    <x v="0"/>
    <x v="209"/>
    <n v="300678.57"/>
    <n v="10.07"/>
    <n v="272493.2"/>
    <x v="5"/>
    <n v="5294.84"/>
    <x v="0"/>
    <n v="18"/>
  </r>
  <r>
    <n v="100211"/>
    <x v="210"/>
    <s v="Customer_211"/>
    <x v="1"/>
    <x v="210"/>
    <x v="0"/>
    <x v="210"/>
    <n v="447228.22"/>
    <n v="11.92"/>
    <n v="258576.23"/>
    <x v="17"/>
    <n v="4224.78"/>
    <x v="3"/>
    <n v="18"/>
  </r>
  <r>
    <n v="100212"/>
    <x v="211"/>
    <s v="Customer_212"/>
    <x v="0"/>
    <x v="211"/>
    <x v="0"/>
    <x v="211"/>
    <n v="100811.79"/>
    <n v="7.9"/>
    <n v="961869.66"/>
    <x v="0"/>
    <n v="44674.59"/>
    <x v="1"/>
    <n v="18"/>
  </r>
  <r>
    <n v="100213"/>
    <x v="212"/>
    <s v="Customer_213"/>
    <x v="1"/>
    <x v="212"/>
    <x v="0"/>
    <x v="212"/>
    <n v="48694.89"/>
    <n v="11.66"/>
    <n v="635485.46"/>
    <x v="5"/>
    <n v="23726.9"/>
    <x v="0"/>
    <n v="18"/>
  </r>
  <r>
    <n v="100214"/>
    <x v="213"/>
    <s v="Customer_214"/>
    <x v="1"/>
    <x v="213"/>
    <x v="1"/>
    <x v="213"/>
    <n v="127359.98"/>
    <n v="3.68"/>
    <n v="579034.52"/>
    <x v="2"/>
    <n v="16681.34"/>
    <x v="0"/>
    <n v="18"/>
  </r>
  <r>
    <n v="100215"/>
    <x v="214"/>
    <s v="Customer_215"/>
    <x v="0"/>
    <x v="214"/>
    <x v="1"/>
    <x v="214"/>
    <n v="399343.35999999999"/>
    <n v="6.29"/>
    <n v="444986.35"/>
    <x v="15"/>
    <n v="24346.6"/>
    <x v="2"/>
    <n v="18"/>
  </r>
  <r>
    <n v="100216"/>
    <x v="215"/>
    <s v="Customer_216"/>
    <x v="1"/>
    <x v="215"/>
    <x v="0"/>
    <x v="215"/>
    <n v="26988.43"/>
    <n v="5.03"/>
    <n v="457497.12"/>
    <x v="6"/>
    <n v="16596.900000000001"/>
    <x v="0"/>
    <n v="18"/>
  </r>
  <r>
    <n v="100217"/>
    <x v="216"/>
    <s v="Customer_217"/>
    <x v="0"/>
    <x v="216"/>
    <x v="0"/>
    <x v="216"/>
    <n v="295575.34999999998"/>
    <n v="4.76"/>
    <n v="563859.75"/>
    <x v="11"/>
    <n v="24962.75"/>
    <x v="3"/>
    <n v="18"/>
  </r>
  <r>
    <n v="100218"/>
    <x v="217"/>
    <s v="Customer_218"/>
    <x v="2"/>
    <x v="217"/>
    <x v="0"/>
    <x v="217"/>
    <n v="497764.38"/>
    <n v="4.2699999999999996"/>
    <n v="711608.31999999995"/>
    <x v="14"/>
    <n v="43118.26"/>
    <x v="2"/>
    <n v="18"/>
  </r>
  <r>
    <n v="100219"/>
    <x v="218"/>
    <s v="Customer_219"/>
    <x v="0"/>
    <x v="218"/>
    <x v="0"/>
    <x v="218"/>
    <n v="429291.09"/>
    <n v="8.6"/>
    <n v="717038.79"/>
    <x v="2"/>
    <n v="30022.77"/>
    <x v="0"/>
    <n v="18"/>
  </r>
  <r>
    <n v="100220"/>
    <x v="219"/>
    <s v="Customer_220"/>
    <x v="2"/>
    <x v="219"/>
    <x v="0"/>
    <x v="219"/>
    <n v="265508.39"/>
    <n v="10.029999999999999"/>
    <n v="213109.21"/>
    <x v="15"/>
    <n v="35038.03"/>
    <x v="0"/>
    <n v="18"/>
  </r>
  <r>
    <n v="100221"/>
    <x v="220"/>
    <s v="Customer_221"/>
    <x v="1"/>
    <x v="220"/>
    <x v="1"/>
    <x v="220"/>
    <n v="41184.050000000003"/>
    <n v="8.1999999999999993"/>
    <n v="525107.11"/>
    <x v="3"/>
    <n v="18868.86"/>
    <x v="1"/>
    <n v="18"/>
  </r>
  <r>
    <n v="100222"/>
    <x v="221"/>
    <s v="Customer_222"/>
    <x v="1"/>
    <x v="221"/>
    <x v="1"/>
    <x v="221"/>
    <n v="417373.02"/>
    <n v="4.32"/>
    <n v="441360.19"/>
    <x v="2"/>
    <n v="37186.79"/>
    <x v="0"/>
    <n v="18"/>
  </r>
  <r>
    <n v="100223"/>
    <x v="222"/>
    <s v="Customer_223"/>
    <x v="2"/>
    <x v="222"/>
    <x v="1"/>
    <x v="222"/>
    <n v="303499.46999999997"/>
    <n v="10.3"/>
    <n v="877000.62"/>
    <x v="14"/>
    <n v="33664.239999999998"/>
    <x v="4"/>
    <n v="18"/>
  </r>
  <r>
    <n v="100224"/>
    <x v="223"/>
    <s v="Customer_224"/>
    <x v="1"/>
    <x v="223"/>
    <x v="1"/>
    <x v="223"/>
    <n v="66317.17"/>
    <n v="8.7200000000000006"/>
    <n v="649847.98"/>
    <x v="11"/>
    <n v="6858.54"/>
    <x v="2"/>
    <n v="18"/>
  </r>
  <r>
    <n v="100225"/>
    <x v="224"/>
    <s v="Customer_225"/>
    <x v="0"/>
    <x v="224"/>
    <x v="0"/>
    <x v="224"/>
    <n v="55990.07"/>
    <n v="6.49"/>
    <n v="555878.86"/>
    <x v="9"/>
    <n v="29059.5"/>
    <x v="4"/>
    <n v="18"/>
  </r>
  <r>
    <n v="100226"/>
    <x v="225"/>
    <s v="Customer_226"/>
    <x v="2"/>
    <x v="225"/>
    <x v="0"/>
    <x v="225"/>
    <n v="455717.14"/>
    <n v="9.07"/>
    <n v="159624.91"/>
    <x v="12"/>
    <n v="13580.43"/>
    <x v="2"/>
    <n v="18"/>
  </r>
  <r>
    <n v="100227"/>
    <x v="226"/>
    <s v="Customer_227"/>
    <x v="1"/>
    <x v="226"/>
    <x v="0"/>
    <x v="226"/>
    <n v="337908.13"/>
    <n v="5.34"/>
    <n v="625355.99"/>
    <x v="3"/>
    <n v="40400.69"/>
    <x v="1"/>
    <n v="18"/>
  </r>
  <r>
    <n v="100228"/>
    <x v="227"/>
    <s v="Customer_228"/>
    <x v="2"/>
    <x v="227"/>
    <x v="0"/>
    <x v="227"/>
    <n v="416350.53"/>
    <n v="6.11"/>
    <n v="161343.71"/>
    <x v="16"/>
    <n v="21870.95"/>
    <x v="0"/>
    <n v="18"/>
  </r>
  <r>
    <n v="100229"/>
    <x v="228"/>
    <s v="Customer_229"/>
    <x v="0"/>
    <x v="228"/>
    <x v="0"/>
    <x v="228"/>
    <n v="440699.66"/>
    <n v="11.26"/>
    <n v="370346.25"/>
    <x v="18"/>
    <n v="49739.519999999997"/>
    <x v="0"/>
    <n v="18"/>
  </r>
  <r>
    <n v="100230"/>
    <x v="229"/>
    <s v="Customer_230"/>
    <x v="0"/>
    <x v="229"/>
    <x v="1"/>
    <x v="229"/>
    <n v="290168.45"/>
    <n v="5.61"/>
    <n v="185699.87"/>
    <x v="14"/>
    <n v="5532.52"/>
    <x v="0"/>
    <n v="18"/>
  </r>
  <r>
    <n v="100231"/>
    <x v="230"/>
    <s v="Customer_231"/>
    <x v="1"/>
    <x v="230"/>
    <x v="0"/>
    <x v="230"/>
    <n v="263548.71000000002"/>
    <n v="7.23"/>
    <n v="707469.96"/>
    <x v="3"/>
    <n v="39237.050000000003"/>
    <x v="2"/>
    <n v="18"/>
  </r>
  <r>
    <n v="100232"/>
    <x v="231"/>
    <s v="Customer_232"/>
    <x v="0"/>
    <x v="231"/>
    <x v="1"/>
    <x v="231"/>
    <n v="220909.43"/>
    <n v="11.01"/>
    <n v="245939.51"/>
    <x v="5"/>
    <n v="34011.379999999997"/>
    <x v="0"/>
    <n v="18"/>
  </r>
  <r>
    <n v="100233"/>
    <x v="232"/>
    <s v="Customer_233"/>
    <x v="2"/>
    <x v="232"/>
    <x v="1"/>
    <x v="232"/>
    <n v="165303.82999999999"/>
    <n v="9.3699999999999992"/>
    <n v="422266.4"/>
    <x v="10"/>
    <n v="38607.440000000002"/>
    <x v="4"/>
    <n v="18"/>
  </r>
  <r>
    <n v="100234"/>
    <x v="233"/>
    <s v="Customer_234"/>
    <x v="0"/>
    <x v="233"/>
    <x v="1"/>
    <x v="233"/>
    <n v="222952.02"/>
    <n v="3.56"/>
    <n v="900891.04"/>
    <x v="13"/>
    <n v="16068.96"/>
    <x v="0"/>
    <n v="18"/>
  </r>
  <r>
    <n v="100235"/>
    <x v="234"/>
    <s v="Customer_235"/>
    <x v="2"/>
    <x v="234"/>
    <x v="1"/>
    <x v="234"/>
    <n v="389201.03"/>
    <n v="4.33"/>
    <n v="244100.56"/>
    <x v="0"/>
    <n v="25110.67"/>
    <x v="1"/>
    <n v="18"/>
  </r>
  <r>
    <n v="100236"/>
    <x v="235"/>
    <s v="Customer_236"/>
    <x v="2"/>
    <x v="235"/>
    <x v="0"/>
    <x v="235"/>
    <n v="304942.48"/>
    <n v="3.07"/>
    <n v="532414.81000000006"/>
    <x v="6"/>
    <n v="40028.92"/>
    <x v="4"/>
    <n v="18"/>
  </r>
  <r>
    <n v="100237"/>
    <x v="236"/>
    <s v="Customer_237"/>
    <x v="0"/>
    <x v="236"/>
    <x v="1"/>
    <x v="236"/>
    <n v="447336.41"/>
    <n v="8.68"/>
    <n v="448308.08"/>
    <x v="16"/>
    <n v="12394.53"/>
    <x v="0"/>
    <n v="18"/>
  </r>
  <r>
    <n v="100238"/>
    <x v="237"/>
    <s v="Customer_238"/>
    <x v="1"/>
    <x v="237"/>
    <x v="1"/>
    <x v="237"/>
    <n v="227256.21"/>
    <n v="7.03"/>
    <n v="67217.84"/>
    <x v="2"/>
    <n v="12075.63"/>
    <x v="0"/>
    <n v="18"/>
  </r>
  <r>
    <n v="100239"/>
    <x v="238"/>
    <s v="Customer_239"/>
    <x v="0"/>
    <x v="238"/>
    <x v="1"/>
    <x v="238"/>
    <n v="307473.89"/>
    <n v="4.21"/>
    <n v="803120.21"/>
    <x v="6"/>
    <n v="28001.5"/>
    <x v="3"/>
    <n v="18"/>
  </r>
  <r>
    <n v="100240"/>
    <x v="239"/>
    <s v="Customer_240"/>
    <x v="2"/>
    <x v="239"/>
    <x v="0"/>
    <x v="239"/>
    <n v="319340.7"/>
    <n v="11.62"/>
    <n v="115593.61"/>
    <x v="17"/>
    <n v="26654.62"/>
    <x v="2"/>
    <n v="18"/>
  </r>
  <r>
    <n v="100241"/>
    <x v="240"/>
    <s v="Customer_241"/>
    <x v="2"/>
    <x v="240"/>
    <x v="0"/>
    <x v="240"/>
    <n v="299931.61"/>
    <n v="7.77"/>
    <n v="500542.27"/>
    <x v="0"/>
    <n v="14830.86"/>
    <x v="4"/>
    <n v="18"/>
  </r>
  <r>
    <n v="100242"/>
    <x v="241"/>
    <s v="Customer_242"/>
    <x v="0"/>
    <x v="241"/>
    <x v="0"/>
    <x v="241"/>
    <n v="354290.55"/>
    <n v="5.18"/>
    <n v="582644.38"/>
    <x v="1"/>
    <n v="15605.71"/>
    <x v="3"/>
    <n v="18"/>
  </r>
  <r>
    <n v="100243"/>
    <x v="242"/>
    <s v="Customer_243"/>
    <x v="1"/>
    <x v="242"/>
    <x v="1"/>
    <x v="242"/>
    <n v="126342.39999999999"/>
    <n v="7.51"/>
    <n v="647005.13"/>
    <x v="0"/>
    <n v="14614.41"/>
    <x v="1"/>
    <n v="18"/>
  </r>
  <r>
    <n v="100244"/>
    <x v="243"/>
    <s v="Customer_244"/>
    <x v="1"/>
    <x v="243"/>
    <x v="1"/>
    <x v="243"/>
    <n v="261058.25"/>
    <n v="9.1199999999999992"/>
    <n v="704200.05"/>
    <x v="14"/>
    <n v="38804.089999999997"/>
    <x v="2"/>
    <n v="18"/>
  </r>
  <r>
    <n v="100245"/>
    <x v="244"/>
    <s v="Customer_245"/>
    <x v="2"/>
    <x v="244"/>
    <x v="0"/>
    <x v="244"/>
    <n v="61070.15"/>
    <n v="3.69"/>
    <n v="290608.76"/>
    <x v="8"/>
    <n v="32943.14"/>
    <x v="4"/>
    <n v="18"/>
  </r>
  <r>
    <n v="100246"/>
    <x v="245"/>
    <s v="Customer_246"/>
    <x v="2"/>
    <x v="245"/>
    <x v="1"/>
    <x v="245"/>
    <n v="198410.55"/>
    <n v="5.47"/>
    <n v="59479.839999999997"/>
    <x v="18"/>
    <n v="41788.44"/>
    <x v="0"/>
    <n v="18"/>
  </r>
  <r>
    <n v="100247"/>
    <x v="246"/>
    <s v="Customer_247"/>
    <x v="1"/>
    <x v="246"/>
    <x v="0"/>
    <x v="246"/>
    <n v="248956.86"/>
    <n v="10.26"/>
    <n v="737271.48"/>
    <x v="0"/>
    <n v="48798.18"/>
    <x v="4"/>
    <n v="18"/>
  </r>
  <r>
    <n v="100248"/>
    <x v="247"/>
    <s v="Customer_248"/>
    <x v="0"/>
    <x v="247"/>
    <x v="0"/>
    <x v="247"/>
    <n v="329589.89"/>
    <n v="7.14"/>
    <n v="558873.77"/>
    <x v="3"/>
    <n v="24234.05"/>
    <x v="0"/>
    <n v="18"/>
  </r>
  <r>
    <n v="100249"/>
    <x v="248"/>
    <s v="Customer_249"/>
    <x v="2"/>
    <x v="248"/>
    <x v="1"/>
    <x v="248"/>
    <n v="475760.22"/>
    <n v="7.92"/>
    <n v="844311.82"/>
    <x v="16"/>
    <n v="4268"/>
    <x v="2"/>
    <n v="18"/>
  </r>
  <r>
    <n v="100250"/>
    <x v="249"/>
    <s v="Customer_250"/>
    <x v="2"/>
    <x v="249"/>
    <x v="1"/>
    <x v="249"/>
    <n v="304319.02"/>
    <n v="6.9"/>
    <n v="830318.94"/>
    <x v="3"/>
    <n v="3356.52"/>
    <x v="0"/>
    <n v="18"/>
  </r>
  <r>
    <n v="100251"/>
    <x v="250"/>
    <s v="Customer_251"/>
    <x v="1"/>
    <x v="250"/>
    <x v="1"/>
    <x v="250"/>
    <n v="374361.02"/>
    <n v="3.4"/>
    <n v="851159.86"/>
    <x v="18"/>
    <n v="15487.59"/>
    <x v="1"/>
    <n v="18"/>
  </r>
  <r>
    <n v="100252"/>
    <x v="251"/>
    <s v="Customer_252"/>
    <x v="0"/>
    <x v="251"/>
    <x v="1"/>
    <x v="251"/>
    <n v="258070.37"/>
    <n v="4.49"/>
    <n v="510839.93"/>
    <x v="13"/>
    <n v="46694.68"/>
    <x v="0"/>
    <n v="18"/>
  </r>
  <r>
    <n v="100253"/>
    <x v="252"/>
    <s v="Customer_253"/>
    <x v="1"/>
    <x v="252"/>
    <x v="0"/>
    <x v="252"/>
    <n v="320710.98"/>
    <n v="7.01"/>
    <n v="366946.98"/>
    <x v="11"/>
    <n v="26637.439999999999"/>
    <x v="1"/>
    <n v="18"/>
  </r>
  <r>
    <n v="100254"/>
    <x v="253"/>
    <s v="Customer_254"/>
    <x v="0"/>
    <x v="253"/>
    <x v="0"/>
    <x v="253"/>
    <n v="44756.79"/>
    <n v="4.88"/>
    <n v="801980.29"/>
    <x v="3"/>
    <n v="14317.54"/>
    <x v="2"/>
    <n v="18"/>
  </r>
  <r>
    <n v="100255"/>
    <x v="254"/>
    <s v="Customer_255"/>
    <x v="0"/>
    <x v="254"/>
    <x v="0"/>
    <x v="254"/>
    <n v="134651.87"/>
    <n v="3.45"/>
    <n v="478729.41"/>
    <x v="9"/>
    <n v="20559.169999999998"/>
    <x v="2"/>
    <n v="18"/>
  </r>
  <r>
    <n v="100256"/>
    <x v="255"/>
    <s v="Customer_256"/>
    <x v="0"/>
    <x v="255"/>
    <x v="0"/>
    <x v="255"/>
    <n v="187308.02"/>
    <n v="10.59"/>
    <n v="224270.09"/>
    <x v="14"/>
    <n v="30331.16"/>
    <x v="4"/>
    <n v="18"/>
  </r>
  <r>
    <n v="100257"/>
    <x v="256"/>
    <s v="Customer_257"/>
    <x v="2"/>
    <x v="256"/>
    <x v="0"/>
    <x v="256"/>
    <n v="241521.74"/>
    <n v="11.83"/>
    <n v="862225.32"/>
    <x v="14"/>
    <n v="32994.53"/>
    <x v="1"/>
    <n v="18"/>
  </r>
  <r>
    <n v="100258"/>
    <x v="257"/>
    <s v="Customer_258"/>
    <x v="1"/>
    <x v="257"/>
    <x v="1"/>
    <x v="257"/>
    <n v="32367.89"/>
    <n v="10.14"/>
    <n v="888431.88"/>
    <x v="15"/>
    <n v="8542.06"/>
    <x v="1"/>
    <n v="18"/>
  </r>
  <r>
    <n v="100259"/>
    <x v="258"/>
    <s v="Customer_259"/>
    <x v="1"/>
    <x v="258"/>
    <x v="0"/>
    <x v="258"/>
    <n v="78611.81"/>
    <n v="10.68"/>
    <n v="492994.27"/>
    <x v="13"/>
    <n v="48874.55"/>
    <x v="3"/>
    <n v="18"/>
  </r>
  <r>
    <n v="100260"/>
    <x v="259"/>
    <s v="Customer_260"/>
    <x v="0"/>
    <x v="259"/>
    <x v="0"/>
    <x v="259"/>
    <n v="145639.01"/>
    <n v="5.18"/>
    <n v="121914.74"/>
    <x v="0"/>
    <n v="27693.84"/>
    <x v="3"/>
    <n v="18"/>
  </r>
  <r>
    <n v="100261"/>
    <x v="260"/>
    <s v="Customer_261"/>
    <x v="2"/>
    <x v="260"/>
    <x v="0"/>
    <x v="260"/>
    <n v="486051.02"/>
    <n v="11.65"/>
    <n v="418434.79"/>
    <x v="8"/>
    <n v="7648.73"/>
    <x v="3"/>
    <n v="18"/>
  </r>
  <r>
    <n v="100262"/>
    <x v="261"/>
    <s v="Customer_262"/>
    <x v="2"/>
    <x v="261"/>
    <x v="1"/>
    <x v="261"/>
    <n v="172360.03"/>
    <n v="4.7699999999999996"/>
    <n v="813360.78"/>
    <x v="15"/>
    <n v="44788.13"/>
    <x v="0"/>
    <n v="18"/>
  </r>
  <r>
    <n v="100263"/>
    <x v="262"/>
    <s v="Customer_263"/>
    <x v="1"/>
    <x v="262"/>
    <x v="1"/>
    <x v="262"/>
    <n v="246200.12"/>
    <n v="11.56"/>
    <n v="906685.33"/>
    <x v="12"/>
    <n v="4657.28"/>
    <x v="3"/>
    <n v="18"/>
  </r>
  <r>
    <n v="100264"/>
    <x v="263"/>
    <s v="Customer_264"/>
    <x v="2"/>
    <x v="263"/>
    <x v="1"/>
    <x v="263"/>
    <n v="106087.88"/>
    <n v="11.95"/>
    <n v="243299.11"/>
    <x v="18"/>
    <n v="45479.040000000001"/>
    <x v="1"/>
    <n v="18"/>
  </r>
  <r>
    <n v="100265"/>
    <x v="264"/>
    <s v="Customer_265"/>
    <x v="2"/>
    <x v="264"/>
    <x v="1"/>
    <x v="264"/>
    <n v="309282.23"/>
    <n v="9.41"/>
    <n v="113624.93"/>
    <x v="5"/>
    <n v="49831.72"/>
    <x v="0"/>
    <n v="18"/>
  </r>
  <r>
    <n v="100266"/>
    <x v="265"/>
    <s v="Customer_266"/>
    <x v="0"/>
    <x v="265"/>
    <x v="0"/>
    <x v="265"/>
    <n v="147534.78"/>
    <n v="11.83"/>
    <n v="883482.93"/>
    <x v="18"/>
    <n v="35321.160000000003"/>
    <x v="2"/>
    <n v="18"/>
  </r>
  <r>
    <n v="100267"/>
    <x v="266"/>
    <s v="Customer_267"/>
    <x v="2"/>
    <x v="266"/>
    <x v="0"/>
    <x v="266"/>
    <n v="111426.36"/>
    <n v="8.1300000000000008"/>
    <n v="419934.69"/>
    <x v="5"/>
    <n v="38751.910000000003"/>
    <x v="4"/>
    <n v="18"/>
  </r>
  <r>
    <n v="100268"/>
    <x v="267"/>
    <s v="Customer_268"/>
    <x v="0"/>
    <x v="267"/>
    <x v="1"/>
    <x v="267"/>
    <n v="263120.59000000003"/>
    <n v="5.34"/>
    <n v="564672.92000000004"/>
    <x v="1"/>
    <n v="17527.84"/>
    <x v="3"/>
    <n v="18"/>
  </r>
  <r>
    <n v="100269"/>
    <x v="268"/>
    <s v="Customer_269"/>
    <x v="1"/>
    <x v="268"/>
    <x v="1"/>
    <x v="268"/>
    <n v="12697.84"/>
    <n v="6.93"/>
    <n v="969662.52"/>
    <x v="12"/>
    <n v="47137.27"/>
    <x v="2"/>
    <n v="18"/>
  </r>
  <r>
    <n v="100270"/>
    <x v="269"/>
    <s v="Customer_270"/>
    <x v="2"/>
    <x v="269"/>
    <x v="0"/>
    <x v="269"/>
    <n v="13755.38"/>
    <n v="8.34"/>
    <n v="113236.49"/>
    <x v="8"/>
    <n v="26955.98"/>
    <x v="1"/>
    <n v="18"/>
  </r>
  <r>
    <n v="100271"/>
    <x v="270"/>
    <s v="Customer_271"/>
    <x v="1"/>
    <x v="270"/>
    <x v="0"/>
    <x v="270"/>
    <n v="117343.72"/>
    <n v="3.66"/>
    <n v="665902.11"/>
    <x v="4"/>
    <n v="36887.03"/>
    <x v="4"/>
    <n v="18"/>
  </r>
  <r>
    <n v="100272"/>
    <x v="271"/>
    <s v="Customer_272"/>
    <x v="1"/>
    <x v="271"/>
    <x v="1"/>
    <x v="271"/>
    <n v="27993.47"/>
    <n v="8.6"/>
    <n v="120400.15"/>
    <x v="14"/>
    <n v="46281.279999999999"/>
    <x v="2"/>
    <n v="18"/>
  </r>
  <r>
    <n v="100273"/>
    <x v="272"/>
    <s v="Customer_273"/>
    <x v="2"/>
    <x v="272"/>
    <x v="1"/>
    <x v="272"/>
    <n v="62932.62"/>
    <n v="11.83"/>
    <n v="406695.48"/>
    <x v="3"/>
    <n v="48783.82"/>
    <x v="4"/>
    <n v="18"/>
  </r>
  <r>
    <n v="100274"/>
    <x v="273"/>
    <s v="Customer_274"/>
    <x v="2"/>
    <x v="273"/>
    <x v="1"/>
    <x v="273"/>
    <n v="176041.72"/>
    <n v="4.71"/>
    <n v="813623.82"/>
    <x v="18"/>
    <n v="41827.01"/>
    <x v="3"/>
    <n v="18"/>
  </r>
  <r>
    <n v="100275"/>
    <x v="274"/>
    <s v="Customer_275"/>
    <x v="1"/>
    <x v="274"/>
    <x v="1"/>
    <x v="274"/>
    <n v="403266.98"/>
    <n v="10.130000000000001"/>
    <n v="461798.62"/>
    <x v="9"/>
    <n v="15847.86"/>
    <x v="1"/>
    <n v="18"/>
  </r>
  <r>
    <n v="100276"/>
    <x v="275"/>
    <s v="Customer_276"/>
    <x v="2"/>
    <x v="275"/>
    <x v="0"/>
    <x v="275"/>
    <n v="290303.84000000003"/>
    <n v="11.17"/>
    <n v="997323.24"/>
    <x v="11"/>
    <n v="48360.83"/>
    <x v="4"/>
    <n v="18"/>
  </r>
  <r>
    <n v="100277"/>
    <x v="276"/>
    <s v="Customer_277"/>
    <x v="0"/>
    <x v="276"/>
    <x v="0"/>
    <x v="276"/>
    <n v="261207.19"/>
    <n v="11.49"/>
    <n v="581106.31999999995"/>
    <x v="0"/>
    <n v="31777.86"/>
    <x v="2"/>
    <n v="18"/>
  </r>
  <r>
    <n v="100278"/>
    <x v="277"/>
    <s v="Customer_278"/>
    <x v="0"/>
    <x v="277"/>
    <x v="0"/>
    <x v="277"/>
    <n v="153809.51999999999"/>
    <n v="11.64"/>
    <n v="355104.05"/>
    <x v="2"/>
    <n v="46601.48"/>
    <x v="3"/>
    <n v="18"/>
  </r>
  <r>
    <n v="100279"/>
    <x v="278"/>
    <s v="Customer_279"/>
    <x v="2"/>
    <x v="278"/>
    <x v="1"/>
    <x v="278"/>
    <n v="466559.32"/>
    <n v="7.69"/>
    <n v="259105.76"/>
    <x v="0"/>
    <n v="34129.15"/>
    <x v="3"/>
    <n v="18"/>
  </r>
  <r>
    <n v="100280"/>
    <x v="279"/>
    <s v="Customer_280"/>
    <x v="1"/>
    <x v="279"/>
    <x v="1"/>
    <x v="279"/>
    <n v="204537.37"/>
    <n v="11.8"/>
    <n v="382994.51"/>
    <x v="2"/>
    <n v="16054.71"/>
    <x v="2"/>
    <n v="18"/>
  </r>
  <r>
    <n v="100281"/>
    <x v="280"/>
    <s v="Customer_281"/>
    <x v="2"/>
    <x v="280"/>
    <x v="0"/>
    <x v="280"/>
    <n v="52675.46"/>
    <n v="9.82"/>
    <n v="403906.61"/>
    <x v="11"/>
    <n v="19131.2"/>
    <x v="2"/>
    <n v="18"/>
  </r>
  <r>
    <n v="100282"/>
    <x v="281"/>
    <s v="Customer_282"/>
    <x v="2"/>
    <x v="281"/>
    <x v="0"/>
    <x v="281"/>
    <n v="312362.59000000003"/>
    <n v="4.46"/>
    <n v="115277.99"/>
    <x v="6"/>
    <n v="27973.119999999999"/>
    <x v="4"/>
    <n v="18"/>
  </r>
  <r>
    <n v="100283"/>
    <x v="282"/>
    <s v="Customer_283"/>
    <x v="1"/>
    <x v="282"/>
    <x v="0"/>
    <x v="282"/>
    <n v="65780.81"/>
    <n v="7.29"/>
    <n v="401095.49"/>
    <x v="8"/>
    <n v="39710.730000000003"/>
    <x v="0"/>
    <n v="18"/>
  </r>
  <r>
    <n v="100284"/>
    <x v="283"/>
    <s v="Customer_284"/>
    <x v="1"/>
    <x v="283"/>
    <x v="0"/>
    <x v="283"/>
    <n v="179159.34"/>
    <n v="9.4600000000000009"/>
    <n v="491026.59"/>
    <x v="2"/>
    <n v="16581.150000000001"/>
    <x v="3"/>
    <n v="18"/>
  </r>
  <r>
    <n v="100285"/>
    <x v="284"/>
    <s v="Customer_285"/>
    <x v="0"/>
    <x v="284"/>
    <x v="1"/>
    <x v="284"/>
    <n v="258631.85"/>
    <n v="5.23"/>
    <n v="736600.86"/>
    <x v="4"/>
    <n v="29406.83"/>
    <x v="4"/>
    <n v="18"/>
  </r>
  <r>
    <n v="100286"/>
    <x v="285"/>
    <s v="Customer_286"/>
    <x v="1"/>
    <x v="285"/>
    <x v="0"/>
    <x v="285"/>
    <n v="438369.04"/>
    <n v="8.77"/>
    <n v="673893.01"/>
    <x v="1"/>
    <n v="17935.62"/>
    <x v="2"/>
    <n v="18"/>
  </r>
  <r>
    <n v="100287"/>
    <x v="286"/>
    <s v="Customer_287"/>
    <x v="0"/>
    <x v="286"/>
    <x v="0"/>
    <x v="286"/>
    <n v="251837.82"/>
    <n v="9"/>
    <n v="723327.37"/>
    <x v="10"/>
    <n v="40972.699999999997"/>
    <x v="4"/>
    <n v="18"/>
  </r>
  <r>
    <n v="100288"/>
    <x v="287"/>
    <s v="Customer_288"/>
    <x v="1"/>
    <x v="287"/>
    <x v="0"/>
    <x v="287"/>
    <n v="354106.8"/>
    <n v="4.46"/>
    <n v="57945.5"/>
    <x v="1"/>
    <n v="23869.68"/>
    <x v="2"/>
    <n v="18"/>
  </r>
  <r>
    <n v="100289"/>
    <x v="288"/>
    <s v="Customer_289"/>
    <x v="2"/>
    <x v="288"/>
    <x v="0"/>
    <x v="288"/>
    <n v="496480.25"/>
    <n v="8.09"/>
    <n v="256784.03"/>
    <x v="10"/>
    <n v="4759.42"/>
    <x v="1"/>
    <n v="18"/>
  </r>
  <r>
    <n v="100290"/>
    <x v="289"/>
    <s v="Customer_290"/>
    <x v="0"/>
    <x v="289"/>
    <x v="0"/>
    <x v="289"/>
    <n v="74429.67"/>
    <n v="9.94"/>
    <n v="678600.07"/>
    <x v="12"/>
    <n v="9136.57"/>
    <x v="2"/>
    <n v="18"/>
  </r>
  <r>
    <n v="100291"/>
    <x v="290"/>
    <s v="Customer_291"/>
    <x v="0"/>
    <x v="290"/>
    <x v="0"/>
    <x v="290"/>
    <n v="144618.45000000001"/>
    <n v="7.49"/>
    <n v="509789.9"/>
    <x v="1"/>
    <n v="3994.13"/>
    <x v="2"/>
    <n v="18"/>
  </r>
  <r>
    <n v="100292"/>
    <x v="291"/>
    <s v="Customer_292"/>
    <x v="0"/>
    <x v="291"/>
    <x v="0"/>
    <x v="291"/>
    <n v="203342.28"/>
    <n v="3.11"/>
    <n v="55047.8"/>
    <x v="16"/>
    <n v="25465.84"/>
    <x v="2"/>
    <n v="18"/>
  </r>
  <r>
    <n v="100293"/>
    <x v="292"/>
    <s v="Customer_293"/>
    <x v="2"/>
    <x v="292"/>
    <x v="1"/>
    <x v="292"/>
    <n v="216695.81"/>
    <n v="3.08"/>
    <n v="814269.91"/>
    <x v="14"/>
    <n v="6210.53"/>
    <x v="0"/>
    <n v="18"/>
  </r>
  <r>
    <n v="100294"/>
    <x v="293"/>
    <s v="Customer_294"/>
    <x v="2"/>
    <x v="293"/>
    <x v="1"/>
    <x v="293"/>
    <n v="211400.33"/>
    <n v="6.21"/>
    <n v="784169.09"/>
    <x v="13"/>
    <n v="6592.86"/>
    <x v="2"/>
    <n v="18"/>
  </r>
  <r>
    <n v="100295"/>
    <x v="294"/>
    <s v="Customer_295"/>
    <x v="2"/>
    <x v="294"/>
    <x v="1"/>
    <x v="294"/>
    <n v="454729.39"/>
    <n v="11.34"/>
    <n v="570998.19999999995"/>
    <x v="15"/>
    <n v="47111.360000000001"/>
    <x v="3"/>
    <n v="18"/>
  </r>
  <r>
    <n v="100296"/>
    <x v="295"/>
    <s v="Customer_296"/>
    <x v="2"/>
    <x v="295"/>
    <x v="1"/>
    <x v="295"/>
    <n v="359876"/>
    <n v="5.0599999999999996"/>
    <n v="113140.16"/>
    <x v="2"/>
    <n v="43760.1"/>
    <x v="3"/>
    <n v="18"/>
  </r>
  <r>
    <n v="100297"/>
    <x v="296"/>
    <s v="Customer_297"/>
    <x v="2"/>
    <x v="296"/>
    <x v="0"/>
    <x v="296"/>
    <n v="307873.55"/>
    <n v="8.7100000000000009"/>
    <n v="778189.3"/>
    <x v="17"/>
    <n v="23152.240000000002"/>
    <x v="4"/>
    <n v="18"/>
  </r>
  <r>
    <n v="100298"/>
    <x v="297"/>
    <s v="Customer_298"/>
    <x v="0"/>
    <x v="297"/>
    <x v="1"/>
    <x v="297"/>
    <n v="161592.63"/>
    <n v="5"/>
    <n v="604527.91"/>
    <x v="4"/>
    <n v="49304.46"/>
    <x v="0"/>
    <n v="18"/>
  </r>
  <r>
    <n v="100299"/>
    <x v="298"/>
    <s v="Customer_299"/>
    <x v="2"/>
    <x v="298"/>
    <x v="1"/>
    <x v="298"/>
    <n v="413657.29"/>
    <n v="5.9"/>
    <n v="792861.98"/>
    <x v="3"/>
    <n v="1009.14"/>
    <x v="4"/>
    <n v="18"/>
  </r>
  <r>
    <n v="100300"/>
    <x v="299"/>
    <s v="Customer_300"/>
    <x v="0"/>
    <x v="299"/>
    <x v="0"/>
    <x v="299"/>
    <n v="477979.65"/>
    <n v="10.63"/>
    <n v="764159.64"/>
    <x v="3"/>
    <n v="31084.99"/>
    <x v="3"/>
    <n v="18"/>
  </r>
  <r>
    <n v="100301"/>
    <x v="300"/>
    <s v="Customer_301"/>
    <x v="2"/>
    <x v="300"/>
    <x v="0"/>
    <x v="300"/>
    <n v="412387.16"/>
    <n v="9.56"/>
    <n v="812851.97"/>
    <x v="7"/>
    <n v="31204.98"/>
    <x v="3"/>
    <n v="18"/>
  </r>
  <r>
    <n v="100302"/>
    <x v="301"/>
    <s v="Customer_302"/>
    <x v="1"/>
    <x v="301"/>
    <x v="1"/>
    <x v="301"/>
    <n v="10766.9"/>
    <n v="3.86"/>
    <n v="542107.66"/>
    <x v="10"/>
    <n v="23414.71"/>
    <x v="1"/>
    <n v="18"/>
  </r>
  <r>
    <n v="100303"/>
    <x v="302"/>
    <s v="Customer_303"/>
    <x v="0"/>
    <x v="302"/>
    <x v="1"/>
    <x v="302"/>
    <n v="321836.67"/>
    <n v="6.86"/>
    <n v="183308.29"/>
    <x v="2"/>
    <n v="20450.45"/>
    <x v="2"/>
    <n v="18"/>
  </r>
  <r>
    <n v="100304"/>
    <x v="303"/>
    <s v="Customer_304"/>
    <x v="1"/>
    <x v="303"/>
    <x v="0"/>
    <x v="303"/>
    <n v="35056.339999999997"/>
    <n v="3.26"/>
    <n v="687599.6"/>
    <x v="16"/>
    <n v="23313.77"/>
    <x v="3"/>
    <n v="18"/>
  </r>
  <r>
    <n v="100305"/>
    <x v="304"/>
    <s v="Customer_305"/>
    <x v="0"/>
    <x v="304"/>
    <x v="1"/>
    <x v="304"/>
    <n v="136227.54"/>
    <n v="7.33"/>
    <n v="639450.1"/>
    <x v="7"/>
    <n v="21333.06"/>
    <x v="4"/>
    <n v="18"/>
  </r>
  <r>
    <n v="100306"/>
    <x v="305"/>
    <s v="Customer_306"/>
    <x v="1"/>
    <x v="305"/>
    <x v="0"/>
    <x v="305"/>
    <n v="39167.1"/>
    <n v="8.9600000000000009"/>
    <n v="755140.53"/>
    <x v="18"/>
    <n v="36794.129999999997"/>
    <x v="4"/>
    <n v="18"/>
  </r>
  <r>
    <n v="100307"/>
    <x v="306"/>
    <s v="Customer_307"/>
    <x v="2"/>
    <x v="306"/>
    <x v="0"/>
    <x v="306"/>
    <n v="305859.77"/>
    <n v="4.07"/>
    <n v="211386.96"/>
    <x v="13"/>
    <n v="7632.42"/>
    <x v="2"/>
    <n v="18"/>
  </r>
  <r>
    <n v="100308"/>
    <x v="307"/>
    <s v="Customer_308"/>
    <x v="2"/>
    <x v="307"/>
    <x v="0"/>
    <x v="307"/>
    <n v="346429.06"/>
    <n v="5.6"/>
    <n v="235226.44"/>
    <x v="3"/>
    <n v="10684.32"/>
    <x v="2"/>
    <n v="18"/>
  </r>
  <r>
    <n v="100309"/>
    <x v="308"/>
    <s v="Customer_309"/>
    <x v="2"/>
    <x v="308"/>
    <x v="0"/>
    <x v="308"/>
    <n v="66098.94"/>
    <n v="6.58"/>
    <n v="895889.04"/>
    <x v="15"/>
    <n v="9845.39"/>
    <x v="1"/>
    <n v="18"/>
  </r>
  <r>
    <n v="100310"/>
    <x v="309"/>
    <s v="Customer_310"/>
    <x v="0"/>
    <x v="309"/>
    <x v="1"/>
    <x v="309"/>
    <n v="198081.05"/>
    <n v="11.28"/>
    <n v="762478.91"/>
    <x v="2"/>
    <n v="13861.06"/>
    <x v="0"/>
    <n v="18"/>
  </r>
  <r>
    <n v="100311"/>
    <x v="310"/>
    <s v="Customer_311"/>
    <x v="1"/>
    <x v="310"/>
    <x v="0"/>
    <x v="310"/>
    <n v="233555.89"/>
    <n v="11.94"/>
    <n v="912817.06"/>
    <x v="1"/>
    <n v="26737.66"/>
    <x v="4"/>
    <n v="18"/>
  </r>
  <r>
    <n v="100312"/>
    <x v="311"/>
    <s v="Customer_312"/>
    <x v="2"/>
    <x v="311"/>
    <x v="0"/>
    <x v="311"/>
    <n v="190835.98"/>
    <n v="3.4"/>
    <n v="770779.56"/>
    <x v="18"/>
    <n v="6449.23"/>
    <x v="2"/>
    <n v="18"/>
  </r>
  <r>
    <n v="100313"/>
    <x v="312"/>
    <s v="Customer_313"/>
    <x v="1"/>
    <x v="312"/>
    <x v="1"/>
    <x v="312"/>
    <n v="69302.25"/>
    <n v="9.85"/>
    <n v="617297.54"/>
    <x v="15"/>
    <n v="43540.3"/>
    <x v="4"/>
    <n v="18"/>
  </r>
  <r>
    <n v="100314"/>
    <x v="313"/>
    <s v="Customer_314"/>
    <x v="1"/>
    <x v="313"/>
    <x v="0"/>
    <x v="313"/>
    <n v="215284.42"/>
    <n v="6.35"/>
    <n v="671426.1"/>
    <x v="15"/>
    <n v="15570.72"/>
    <x v="2"/>
    <n v="18"/>
  </r>
  <r>
    <n v="100315"/>
    <x v="314"/>
    <s v="Customer_315"/>
    <x v="2"/>
    <x v="314"/>
    <x v="1"/>
    <x v="314"/>
    <n v="378077.24"/>
    <n v="6.53"/>
    <n v="894671.53"/>
    <x v="6"/>
    <n v="8964.36"/>
    <x v="3"/>
    <n v="18"/>
  </r>
  <r>
    <n v="100316"/>
    <x v="315"/>
    <s v="Customer_316"/>
    <x v="2"/>
    <x v="315"/>
    <x v="1"/>
    <x v="315"/>
    <n v="44793.760000000002"/>
    <n v="9.7899999999999991"/>
    <n v="599866.42000000004"/>
    <x v="6"/>
    <n v="34105.440000000002"/>
    <x v="4"/>
    <n v="18"/>
  </r>
  <r>
    <n v="100317"/>
    <x v="316"/>
    <s v="Customer_317"/>
    <x v="1"/>
    <x v="316"/>
    <x v="1"/>
    <x v="316"/>
    <n v="49288.21"/>
    <n v="11.27"/>
    <n v="650771.76"/>
    <x v="18"/>
    <n v="2866.23"/>
    <x v="3"/>
    <n v="18"/>
  </r>
  <r>
    <n v="100318"/>
    <x v="317"/>
    <s v="Customer_318"/>
    <x v="2"/>
    <x v="317"/>
    <x v="0"/>
    <x v="317"/>
    <n v="183837.93"/>
    <n v="11.56"/>
    <n v="198652.88"/>
    <x v="8"/>
    <n v="31378.46"/>
    <x v="4"/>
    <n v="18"/>
  </r>
  <r>
    <n v="100319"/>
    <x v="318"/>
    <s v="Customer_319"/>
    <x v="2"/>
    <x v="318"/>
    <x v="1"/>
    <x v="318"/>
    <n v="471445.6"/>
    <n v="8.19"/>
    <n v="500225.16"/>
    <x v="12"/>
    <n v="35211.72"/>
    <x v="0"/>
    <n v="18"/>
  </r>
  <r>
    <n v="100320"/>
    <x v="319"/>
    <s v="Customer_320"/>
    <x v="2"/>
    <x v="319"/>
    <x v="1"/>
    <x v="319"/>
    <n v="337600.6"/>
    <n v="6.21"/>
    <n v="730577.26"/>
    <x v="0"/>
    <n v="11530.91"/>
    <x v="1"/>
    <n v="18"/>
  </r>
  <r>
    <n v="100321"/>
    <x v="320"/>
    <s v="Customer_321"/>
    <x v="0"/>
    <x v="320"/>
    <x v="0"/>
    <x v="320"/>
    <n v="342548.28"/>
    <n v="10.09"/>
    <n v="307395.56"/>
    <x v="10"/>
    <n v="3056.24"/>
    <x v="3"/>
    <n v="18"/>
  </r>
  <r>
    <n v="100322"/>
    <x v="321"/>
    <s v="Customer_322"/>
    <x v="1"/>
    <x v="321"/>
    <x v="1"/>
    <x v="321"/>
    <n v="187340.79999999999"/>
    <n v="5.26"/>
    <n v="242141.47"/>
    <x v="14"/>
    <n v="18818.62"/>
    <x v="2"/>
    <n v="18"/>
  </r>
  <r>
    <n v="100323"/>
    <x v="322"/>
    <s v="Customer_323"/>
    <x v="1"/>
    <x v="322"/>
    <x v="1"/>
    <x v="322"/>
    <n v="300893.78999999998"/>
    <n v="8.08"/>
    <n v="348135.47"/>
    <x v="2"/>
    <n v="5831.12"/>
    <x v="0"/>
    <n v="18"/>
  </r>
  <r>
    <n v="100324"/>
    <x v="323"/>
    <s v="Customer_324"/>
    <x v="0"/>
    <x v="323"/>
    <x v="1"/>
    <x v="323"/>
    <n v="14964.28"/>
    <n v="6.23"/>
    <n v="279425.59999999998"/>
    <x v="18"/>
    <n v="6707.41"/>
    <x v="4"/>
    <n v="18"/>
  </r>
  <r>
    <n v="100325"/>
    <x v="324"/>
    <s v="Customer_325"/>
    <x v="1"/>
    <x v="324"/>
    <x v="1"/>
    <x v="324"/>
    <n v="321687.06"/>
    <n v="8.91"/>
    <n v="254167.01"/>
    <x v="8"/>
    <n v="13458.8"/>
    <x v="3"/>
    <n v="18"/>
  </r>
  <r>
    <n v="100326"/>
    <x v="325"/>
    <s v="Customer_326"/>
    <x v="2"/>
    <x v="325"/>
    <x v="1"/>
    <x v="325"/>
    <n v="457510.6"/>
    <n v="5.16"/>
    <n v="453608.3"/>
    <x v="8"/>
    <n v="15477.93"/>
    <x v="4"/>
    <n v="18"/>
  </r>
  <r>
    <n v="100327"/>
    <x v="326"/>
    <s v="Customer_327"/>
    <x v="1"/>
    <x v="326"/>
    <x v="0"/>
    <x v="326"/>
    <n v="310161"/>
    <n v="4.72"/>
    <n v="912446.59"/>
    <x v="10"/>
    <n v="26968.55"/>
    <x v="4"/>
    <n v="18"/>
  </r>
  <r>
    <n v="100328"/>
    <x v="327"/>
    <s v="Customer_328"/>
    <x v="2"/>
    <x v="327"/>
    <x v="1"/>
    <x v="327"/>
    <n v="438112.31"/>
    <n v="11.26"/>
    <n v="531706.66"/>
    <x v="8"/>
    <n v="34241.199999999997"/>
    <x v="4"/>
    <n v="18"/>
  </r>
  <r>
    <n v="100329"/>
    <x v="328"/>
    <s v="Customer_329"/>
    <x v="0"/>
    <x v="328"/>
    <x v="1"/>
    <x v="328"/>
    <n v="364746.8"/>
    <n v="3.92"/>
    <n v="228524.36"/>
    <x v="12"/>
    <n v="30045.78"/>
    <x v="1"/>
    <n v="18"/>
  </r>
  <r>
    <n v="100330"/>
    <x v="329"/>
    <s v="Customer_330"/>
    <x v="2"/>
    <x v="329"/>
    <x v="0"/>
    <x v="329"/>
    <n v="69073.62"/>
    <n v="7.55"/>
    <n v="123123.09"/>
    <x v="8"/>
    <n v="8269.66"/>
    <x v="1"/>
    <n v="18"/>
  </r>
  <r>
    <n v="100331"/>
    <x v="330"/>
    <s v="Customer_331"/>
    <x v="1"/>
    <x v="330"/>
    <x v="0"/>
    <x v="330"/>
    <n v="452202.12"/>
    <n v="4.99"/>
    <n v="711348.34"/>
    <x v="14"/>
    <n v="9432.2199999999993"/>
    <x v="2"/>
    <n v="18"/>
  </r>
  <r>
    <n v="100332"/>
    <x v="331"/>
    <s v="Customer_332"/>
    <x v="1"/>
    <x v="331"/>
    <x v="0"/>
    <x v="331"/>
    <n v="42557.48"/>
    <n v="3.35"/>
    <n v="413658.83"/>
    <x v="5"/>
    <n v="44059.69"/>
    <x v="3"/>
    <n v="18"/>
  </r>
  <r>
    <n v="100333"/>
    <x v="332"/>
    <s v="Customer_333"/>
    <x v="1"/>
    <x v="332"/>
    <x v="1"/>
    <x v="332"/>
    <n v="271644.06"/>
    <n v="3.32"/>
    <n v="830739.4"/>
    <x v="10"/>
    <n v="28359.26"/>
    <x v="0"/>
    <n v="18"/>
  </r>
  <r>
    <n v="100334"/>
    <x v="333"/>
    <s v="Customer_334"/>
    <x v="0"/>
    <x v="333"/>
    <x v="0"/>
    <x v="333"/>
    <n v="79647.19"/>
    <n v="4.58"/>
    <n v="676535.23"/>
    <x v="12"/>
    <n v="43626.95"/>
    <x v="0"/>
    <n v="18"/>
  </r>
  <r>
    <n v="100335"/>
    <x v="334"/>
    <s v="Customer_335"/>
    <x v="0"/>
    <x v="334"/>
    <x v="1"/>
    <x v="334"/>
    <n v="15736.24"/>
    <n v="10.8"/>
    <n v="806429.38"/>
    <x v="0"/>
    <n v="19205.78"/>
    <x v="0"/>
    <n v="18"/>
  </r>
  <r>
    <n v="100336"/>
    <x v="335"/>
    <s v="Customer_336"/>
    <x v="1"/>
    <x v="335"/>
    <x v="1"/>
    <x v="335"/>
    <n v="216796.79"/>
    <n v="5.54"/>
    <n v="308348.74"/>
    <x v="5"/>
    <n v="31105.599999999999"/>
    <x v="4"/>
    <n v="18"/>
  </r>
  <r>
    <n v="100337"/>
    <x v="336"/>
    <s v="Customer_337"/>
    <x v="2"/>
    <x v="336"/>
    <x v="0"/>
    <x v="336"/>
    <n v="154569.95000000001"/>
    <n v="11.55"/>
    <n v="707740.98"/>
    <x v="5"/>
    <n v="26659.51"/>
    <x v="1"/>
    <n v="18"/>
  </r>
  <r>
    <n v="100338"/>
    <x v="337"/>
    <s v="Customer_338"/>
    <x v="0"/>
    <x v="337"/>
    <x v="0"/>
    <x v="337"/>
    <n v="248140.24"/>
    <n v="8.23"/>
    <n v="300858.89"/>
    <x v="18"/>
    <n v="16637.05"/>
    <x v="3"/>
    <n v="18"/>
  </r>
  <r>
    <n v="100339"/>
    <x v="338"/>
    <s v="Customer_339"/>
    <x v="1"/>
    <x v="338"/>
    <x v="1"/>
    <x v="338"/>
    <n v="292827.94"/>
    <n v="6.93"/>
    <n v="942115.06"/>
    <x v="2"/>
    <n v="24025.85"/>
    <x v="4"/>
    <n v="18"/>
  </r>
  <r>
    <n v="100340"/>
    <x v="339"/>
    <s v="Customer_340"/>
    <x v="1"/>
    <x v="339"/>
    <x v="0"/>
    <x v="339"/>
    <n v="31432.15"/>
    <n v="8.2200000000000006"/>
    <n v="654555.56999999995"/>
    <x v="18"/>
    <n v="25622.05"/>
    <x v="1"/>
    <n v="18"/>
  </r>
  <r>
    <n v="100341"/>
    <x v="340"/>
    <s v="Customer_341"/>
    <x v="0"/>
    <x v="340"/>
    <x v="1"/>
    <x v="340"/>
    <n v="70271.61"/>
    <n v="7.65"/>
    <n v="358286.21"/>
    <x v="10"/>
    <n v="10837.78"/>
    <x v="1"/>
    <n v="18"/>
  </r>
  <r>
    <n v="100342"/>
    <x v="341"/>
    <s v="Customer_342"/>
    <x v="0"/>
    <x v="341"/>
    <x v="0"/>
    <x v="341"/>
    <n v="283734.77"/>
    <n v="9.83"/>
    <n v="306036.27"/>
    <x v="8"/>
    <n v="16435.509999999998"/>
    <x v="3"/>
    <n v="18"/>
  </r>
  <r>
    <n v="100343"/>
    <x v="342"/>
    <s v="Customer_343"/>
    <x v="0"/>
    <x v="342"/>
    <x v="0"/>
    <x v="342"/>
    <n v="178152"/>
    <n v="5.54"/>
    <n v="231380.26"/>
    <x v="0"/>
    <n v="39779.08"/>
    <x v="3"/>
    <n v="18"/>
  </r>
  <r>
    <n v="100344"/>
    <x v="343"/>
    <s v="Customer_344"/>
    <x v="2"/>
    <x v="343"/>
    <x v="0"/>
    <x v="343"/>
    <n v="367295.01"/>
    <n v="6.18"/>
    <n v="709908.91"/>
    <x v="12"/>
    <n v="45873.62"/>
    <x v="3"/>
    <n v="18"/>
  </r>
  <r>
    <n v="100345"/>
    <x v="344"/>
    <s v="Customer_345"/>
    <x v="2"/>
    <x v="344"/>
    <x v="1"/>
    <x v="344"/>
    <n v="329622.90999999997"/>
    <n v="11.05"/>
    <n v="257779.83"/>
    <x v="1"/>
    <n v="18629.91"/>
    <x v="4"/>
    <n v="18"/>
  </r>
  <r>
    <n v="100346"/>
    <x v="345"/>
    <s v="Customer_346"/>
    <x v="1"/>
    <x v="345"/>
    <x v="0"/>
    <x v="345"/>
    <n v="424346.14"/>
    <n v="11.52"/>
    <n v="615538.1"/>
    <x v="8"/>
    <n v="16041.64"/>
    <x v="2"/>
    <n v="18"/>
  </r>
  <r>
    <n v="100347"/>
    <x v="346"/>
    <s v="Customer_347"/>
    <x v="0"/>
    <x v="346"/>
    <x v="1"/>
    <x v="346"/>
    <n v="349321.49"/>
    <n v="11.03"/>
    <n v="301403.28000000003"/>
    <x v="13"/>
    <n v="10564.66"/>
    <x v="3"/>
    <n v="18"/>
  </r>
  <r>
    <n v="100348"/>
    <x v="347"/>
    <s v="Customer_348"/>
    <x v="2"/>
    <x v="347"/>
    <x v="1"/>
    <x v="347"/>
    <n v="220666.23"/>
    <n v="6.78"/>
    <n v="678870.5"/>
    <x v="18"/>
    <n v="34246.07"/>
    <x v="2"/>
    <n v="18"/>
  </r>
  <r>
    <n v="100349"/>
    <x v="348"/>
    <s v="Customer_349"/>
    <x v="0"/>
    <x v="348"/>
    <x v="1"/>
    <x v="348"/>
    <n v="339753.64"/>
    <n v="10.02"/>
    <n v="824192.74"/>
    <x v="1"/>
    <n v="16831.89"/>
    <x v="4"/>
    <n v="18"/>
  </r>
  <r>
    <n v="100350"/>
    <x v="349"/>
    <s v="Customer_350"/>
    <x v="1"/>
    <x v="349"/>
    <x v="1"/>
    <x v="349"/>
    <n v="144936.78"/>
    <n v="7.29"/>
    <n v="789123.98"/>
    <x v="12"/>
    <n v="49399.73"/>
    <x v="2"/>
    <n v="18"/>
  </r>
  <r>
    <n v="100351"/>
    <x v="350"/>
    <s v="Customer_351"/>
    <x v="2"/>
    <x v="350"/>
    <x v="0"/>
    <x v="350"/>
    <n v="160093.60999999999"/>
    <n v="7.48"/>
    <n v="772808.76"/>
    <x v="12"/>
    <n v="16958.560000000001"/>
    <x v="0"/>
    <n v="18"/>
  </r>
  <r>
    <n v="100352"/>
    <x v="351"/>
    <s v="Customer_352"/>
    <x v="2"/>
    <x v="351"/>
    <x v="1"/>
    <x v="351"/>
    <n v="396602.73"/>
    <n v="4.84"/>
    <n v="228336.29"/>
    <x v="11"/>
    <n v="20312.669999999998"/>
    <x v="2"/>
    <n v="18"/>
  </r>
  <r>
    <n v="100353"/>
    <x v="352"/>
    <s v="Customer_353"/>
    <x v="2"/>
    <x v="352"/>
    <x v="1"/>
    <x v="352"/>
    <n v="228745.56"/>
    <n v="8.32"/>
    <n v="133965.70000000001"/>
    <x v="11"/>
    <n v="30563.38"/>
    <x v="3"/>
    <n v="18"/>
  </r>
  <r>
    <n v="100354"/>
    <x v="353"/>
    <s v="Customer_354"/>
    <x v="1"/>
    <x v="353"/>
    <x v="0"/>
    <x v="353"/>
    <n v="401206.37"/>
    <n v="4.68"/>
    <n v="714001.39"/>
    <x v="9"/>
    <n v="40282.53"/>
    <x v="4"/>
    <n v="18"/>
  </r>
  <r>
    <n v="100355"/>
    <x v="354"/>
    <s v="Customer_355"/>
    <x v="0"/>
    <x v="354"/>
    <x v="1"/>
    <x v="354"/>
    <n v="412986.96"/>
    <n v="5.98"/>
    <n v="399929.85"/>
    <x v="8"/>
    <n v="24006.41"/>
    <x v="3"/>
    <n v="18"/>
  </r>
  <r>
    <n v="100356"/>
    <x v="355"/>
    <s v="Customer_356"/>
    <x v="2"/>
    <x v="355"/>
    <x v="0"/>
    <x v="355"/>
    <n v="430205.55"/>
    <n v="10.7"/>
    <n v="460728.92"/>
    <x v="5"/>
    <n v="21710.15"/>
    <x v="0"/>
    <n v="18"/>
  </r>
  <r>
    <n v="100357"/>
    <x v="356"/>
    <s v="Customer_357"/>
    <x v="1"/>
    <x v="356"/>
    <x v="1"/>
    <x v="356"/>
    <n v="459151.27"/>
    <n v="4.8600000000000003"/>
    <n v="79591.64"/>
    <x v="5"/>
    <n v="49786.25"/>
    <x v="3"/>
    <n v="18"/>
  </r>
  <r>
    <n v="100358"/>
    <x v="357"/>
    <s v="Customer_358"/>
    <x v="0"/>
    <x v="357"/>
    <x v="0"/>
    <x v="357"/>
    <n v="221182.76"/>
    <n v="3.64"/>
    <n v="296597.63"/>
    <x v="10"/>
    <n v="1514.19"/>
    <x v="3"/>
    <n v="18"/>
  </r>
  <r>
    <n v="100359"/>
    <x v="358"/>
    <s v="Customer_359"/>
    <x v="1"/>
    <x v="358"/>
    <x v="1"/>
    <x v="358"/>
    <n v="166244.74"/>
    <n v="3.62"/>
    <n v="81992.58"/>
    <x v="7"/>
    <n v="44858.2"/>
    <x v="3"/>
    <n v="18"/>
  </r>
  <r>
    <n v="100360"/>
    <x v="359"/>
    <s v="Customer_360"/>
    <x v="0"/>
    <x v="359"/>
    <x v="0"/>
    <x v="359"/>
    <n v="295277.39"/>
    <n v="11.47"/>
    <n v="885226.48"/>
    <x v="3"/>
    <n v="8307.9"/>
    <x v="1"/>
    <n v="18"/>
  </r>
  <r>
    <n v="100361"/>
    <x v="360"/>
    <s v="Customer_361"/>
    <x v="1"/>
    <x v="360"/>
    <x v="1"/>
    <x v="360"/>
    <n v="191874.49"/>
    <n v="7.56"/>
    <n v="281226.84999999998"/>
    <x v="18"/>
    <n v="39510.339999999997"/>
    <x v="0"/>
    <n v="18"/>
  </r>
  <r>
    <n v="100362"/>
    <x v="361"/>
    <s v="Customer_362"/>
    <x v="0"/>
    <x v="361"/>
    <x v="1"/>
    <x v="361"/>
    <n v="304526.34000000003"/>
    <n v="6.68"/>
    <n v="579470.31000000006"/>
    <x v="17"/>
    <n v="31278.65"/>
    <x v="3"/>
    <n v="18"/>
  </r>
  <r>
    <n v="100363"/>
    <x v="362"/>
    <s v="Customer_363"/>
    <x v="2"/>
    <x v="362"/>
    <x v="0"/>
    <x v="362"/>
    <n v="355737.07"/>
    <n v="10.3"/>
    <n v="87030.35"/>
    <x v="4"/>
    <n v="17750.52"/>
    <x v="3"/>
    <n v="18"/>
  </r>
  <r>
    <n v="100364"/>
    <x v="363"/>
    <s v="Customer_364"/>
    <x v="0"/>
    <x v="363"/>
    <x v="0"/>
    <x v="363"/>
    <n v="347318.46"/>
    <n v="10.52"/>
    <n v="683505.02"/>
    <x v="18"/>
    <n v="43819.87"/>
    <x v="3"/>
    <n v="18"/>
  </r>
  <r>
    <n v="100365"/>
    <x v="364"/>
    <s v="Customer_365"/>
    <x v="1"/>
    <x v="364"/>
    <x v="0"/>
    <x v="364"/>
    <n v="193530.91"/>
    <n v="5.99"/>
    <n v="356875.98"/>
    <x v="3"/>
    <n v="1632.45"/>
    <x v="4"/>
    <n v="18"/>
  </r>
  <r>
    <n v="100366"/>
    <x v="365"/>
    <s v="Customer_366"/>
    <x v="1"/>
    <x v="365"/>
    <x v="0"/>
    <x v="365"/>
    <n v="91761.5"/>
    <n v="9.24"/>
    <n v="903023.23"/>
    <x v="0"/>
    <n v="12107.84"/>
    <x v="1"/>
    <n v="18"/>
  </r>
  <r>
    <n v="100367"/>
    <x v="366"/>
    <s v="Customer_367"/>
    <x v="0"/>
    <x v="366"/>
    <x v="1"/>
    <x v="366"/>
    <n v="220959.38"/>
    <n v="9.94"/>
    <n v="893712.28"/>
    <x v="8"/>
    <n v="28777.75"/>
    <x v="4"/>
    <n v="18"/>
  </r>
  <r>
    <n v="100368"/>
    <x v="367"/>
    <s v="Customer_368"/>
    <x v="2"/>
    <x v="367"/>
    <x v="1"/>
    <x v="367"/>
    <n v="79871.13"/>
    <n v="8.89"/>
    <n v="359026.09"/>
    <x v="0"/>
    <n v="18225.57"/>
    <x v="1"/>
    <n v="18"/>
  </r>
  <r>
    <n v="100369"/>
    <x v="368"/>
    <s v="Customer_369"/>
    <x v="2"/>
    <x v="368"/>
    <x v="0"/>
    <x v="368"/>
    <n v="446147.55"/>
    <n v="4.3600000000000003"/>
    <n v="905912.85"/>
    <x v="17"/>
    <n v="30908.5"/>
    <x v="3"/>
    <n v="18"/>
  </r>
  <r>
    <n v="100370"/>
    <x v="369"/>
    <s v="Customer_370"/>
    <x v="0"/>
    <x v="369"/>
    <x v="1"/>
    <x v="369"/>
    <n v="179479.96"/>
    <n v="10.88"/>
    <n v="996349.79"/>
    <x v="9"/>
    <n v="2181.4"/>
    <x v="0"/>
    <n v="18"/>
  </r>
  <r>
    <n v="100371"/>
    <x v="370"/>
    <s v="Customer_371"/>
    <x v="0"/>
    <x v="370"/>
    <x v="0"/>
    <x v="370"/>
    <n v="85685.28"/>
    <n v="7.85"/>
    <n v="834144.88"/>
    <x v="0"/>
    <n v="6706.49"/>
    <x v="2"/>
    <n v="18"/>
  </r>
  <r>
    <n v="100372"/>
    <x v="371"/>
    <s v="Customer_372"/>
    <x v="1"/>
    <x v="371"/>
    <x v="0"/>
    <x v="371"/>
    <n v="22469.4"/>
    <n v="5.54"/>
    <n v="852627.78"/>
    <x v="14"/>
    <n v="7227.72"/>
    <x v="2"/>
    <n v="18"/>
  </r>
  <r>
    <n v="100373"/>
    <x v="372"/>
    <s v="Customer_373"/>
    <x v="2"/>
    <x v="372"/>
    <x v="1"/>
    <x v="372"/>
    <n v="326452.96999999997"/>
    <n v="6.83"/>
    <n v="286558.3"/>
    <x v="3"/>
    <n v="10274.9"/>
    <x v="3"/>
    <n v="18"/>
  </r>
  <r>
    <n v="100374"/>
    <x v="373"/>
    <s v="Customer_374"/>
    <x v="0"/>
    <x v="373"/>
    <x v="1"/>
    <x v="373"/>
    <n v="322082.14"/>
    <n v="3.34"/>
    <n v="597867.28"/>
    <x v="2"/>
    <n v="23507.24"/>
    <x v="4"/>
    <n v="18"/>
  </r>
  <r>
    <n v="100375"/>
    <x v="374"/>
    <s v="Customer_375"/>
    <x v="2"/>
    <x v="374"/>
    <x v="1"/>
    <x v="374"/>
    <n v="176896.04"/>
    <n v="4.1500000000000004"/>
    <n v="113893.12"/>
    <x v="8"/>
    <n v="37854.31"/>
    <x v="0"/>
    <n v="18"/>
  </r>
  <r>
    <n v="100376"/>
    <x v="375"/>
    <s v="Customer_376"/>
    <x v="0"/>
    <x v="375"/>
    <x v="1"/>
    <x v="375"/>
    <n v="45138.83"/>
    <n v="9.89"/>
    <n v="140172.04"/>
    <x v="7"/>
    <n v="45371.4"/>
    <x v="1"/>
    <n v="18"/>
  </r>
  <r>
    <n v="100377"/>
    <x v="376"/>
    <s v="Customer_377"/>
    <x v="0"/>
    <x v="376"/>
    <x v="1"/>
    <x v="376"/>
    <n v="210718.16"/>
    <n v="3"/>
    <n v="998947.98"/>
    <x v="4"/>
    <n v="41933.25"/>
    <x v="3"/>
    <n v="18"/>
  </r>
  <r>
    <n v="100378"/>
    <x v="377"/>
    <s v="Customer_378"/>
    <x v="2"/>
    <x v="377"/>
    <x v="1"/>
    <x v="377"/>
    <n v="162496.57"/>
    <n v="6.75"/>
    <n v="360307.29"/>
    <x v="11"/>
    <n v="10647.51"/>
    <x v="0"/>
    <n v="18"/>
  </r>
  <r>
    <n v="100379"/>
    <x v="378"/>
    <s v="Customer_379"/>
    <x v="0"/>
    <x v="378"/>
    <x v="1"/>
    <x v="378"/>
    <n v="341789.11"/>
    <n v="7.7"/>
    <n v="760774.72"/>
    <x v="15"/>
    <n v="22616.38"/>
    <x v="0"/>
    <n v="18"/>
  </r>
  <r>
    <n v="100380"/>
    <x v="379"/>
    <s v="Customer_380"/>
    <x v="0"/>
    <x v="379"/>
    <x v="0"/>
    <x v="379"/>
    <n v="306831.83"/>
    <n v="3.49"/>
    <n v="816331.8"/>
    <x v="0"/>
    <n v="10771.17"/>
    <x v="1"/>
    <n v="18"/>
  </r>
  <r>
    <n v="100381"/>
    <x v="380"/>
    <s v="Customer_381"/>
    <x v="1"/>
    <x v="380"/>
    <x v="0"/>
    <x v="380"/>
    <n v="188650.93"/>
    <n v="11.76"/>
    <n v="865122.11"/>
    <x v="9"/>
    <n v="13959.12"/>
    <x v="0"/>
    <n v="18"/>
  </r>
  <r>
    <n v="100382"/>
    <x v="381"/>
    <s v="Customer_382"/>
    <x v="0"/>
    <x v="381"/>
    <x v="0"/>
    <x v="381"/>
    <n v="116767.35"/>
    <n v="5.04"/>
    <n v="997746.88"/>
    <x v="10"/>
    <n v="25673.8"/>
    <x v="4"/>
    <n v="18"/>
  </r>
  <r>
    <n v="100383"/>
    <x v="382"/>
    <s v="Customer_383"/>
    <x v="0"/>
    <x v="382"/>
    <x v="0"/>
    <x v="382"/>
    <n v="494137.62"/>
    <n v="5.74"/>
    <n v="279421.65999999997"/>
    <x v="12"/>
    <n v="4337.34"/>
    <x v="4"/>
    <n v="18"/>
  </r>
  <r>
    <n v="100384"/>
    <x v="383"/>
    <s v="Customer_384"/>
    <x v="0"/>
    <x v="383"/>
    <x v="0"/>
    <x v="383"/>
    <n v="232460.79"/>
    <n v="5.74"/>
    <n v="88333.29"/>
    <x v="5"/>
    <n v="11690.54"/>
    <x v="4"/>
    <n v="18"/>
  </r>
  <r>
    <n v="100385"/>
    <x v="384"/>
    <s v="Customer_385"/>
    <x v="1"/>
    <x v="384"/>
    <x v="1"/>
    <x v="384"/>
    <n v="347254.38"/>
    <n v="5.07"/>
    <n v="440631.94"/>
    <x v="1"/>
    <n v="46833.53"/>
    <x v="0"/>
    <n v="18"/>
  </r>
  <r>
    <n v="100386"/>
    <x v="385"/>
    <s v="Customer_386"/>
    <x v="2"/>
    <x v="385"/>
    <x v="0"/>
    <x v="385"/>
    <n v="78870.95"/>
    <n v="3.01"/>
    <n v="173576.64"/>
    <x v="14"/>
    <n v="23839.7"/>
    <x v="4"/>
    <n v="18"/>
  </r>
  <r>
    <n v="100387"/>
    <x v="386"/>
    <s v="Customer_387"/>
    <x v="1"/>
    <x v="386"/>
    <x v="0"/>
    <x v="386"/>
    <n v="247938.95"/>
    <n v="9.56"/>
    <n v="71304.59"/>
    <x v="18"/>
    <n v="22823.94"/>
    <x v="1"/>
    <n v="18"/>
  </r>
  <r>
    <n v="100388"/>
    <x v="387"/>
    <s v="Customer_388"/>
    <x v="1"/>
    <x v="387"/>
    <x v="0"/>
    <x v="387"/>
    <n v="23492.99"/>
    <n v="11.7"/>
    <n v="392405.49"/>
    <x v="18"/>
    <n v="1713.79"/>
    <x v="0"/>
    <n v="18"/>
  </r>
  <r>
    <n v="100389"/>
    <x v="388"/>
    <s v="Customer_389"/>
    <x v="2"/>
    <x v="388"/>
    <x v="0"/>
    <x v="388"/>
    <n v="257673.01"/>
    <n v="5.0199999999999996"/>
    <n v="794551.34"/>
    <x v="9"/>
    <n v="13122.59"/>
    <x v="2"/>
    <n v="18"/>
  </r>
  <r>
    <n v="100390"/>
    <x v="389"/>
    <s v="Customer_390"/>
    <x v="1"/>
    <x v="389"/>
    <x v="0"/>
    <x v="389"/>
    <n v="482368.53"/>
    <n v="8.9700000000000006"/>
    <n v="587871.66"/>
    <x v="2"/>
    <n v="43448.33"/>
    <x v="0"/>
    <n v="18"/>
  </r>
  <r>
    <n v="100391"/>
    <x v="390"/>
    <s v="Customer_391"/>
    <x v="2"/>
    <x v="390"/>
    <x v="0"/>
    <x v="390"/>
    <n v="198261.29"/>
    <n v="9.68"/>
    <n v="347139.09"/>
    <x v="14"/>
    <n v="9066.7900000000009"/>
    <x v="1"/>
    <n v="18"/>
  </r>
  <r>
    <n v="100392"/>
    <x v="391"/>
    <s v="Customer_392"/>
    <x v="1"/>
    <x v="391"/>
    <x v="0"/>
    <x v="391"/>
    <n v="29108.05"/>
    <n v="10.64"/>
    <n v="671624.91"/>
    <x v="14"/>
    <n v="21341.119999999999"/>
    <x v="2"/>
    <n v="18"/>
  </r>
  <r>
    <n v="100393"/>
    <x v="392"/>
    <s v="Customer_393"/>
    <x v="2"/>
    <x v="392"/>
    <x v="1"/>
    <x v="392"/>
    <n v="25168.34"/>
    <n v="6.8"/>
    <n v="270417.27"/>
    <x v="9"/>
    <n v="1702.21"/>
    <x v="0"/>
    <n v="18"/>
  </r>
  <r>
    <n v="100394"/>
    <x v="393"/>
    <s v="Customer_394"/>
    <x v="0"/>
    <x v="393"/>
    <x v="1"/>
    <x v="393"/>
    <n v="200113.51"/>
    <n v="5.73"/>
    <n v="63662.37"/>
    <x v="10"/>
    <n v="24438.44"/>
    <x v="4"/>
    <n v="18"/>
  </r>
  <r>
    <n v="100395"/>
    <x v="394"/>
    <s v="Customer_395"/>
    <x v="1"/>
    <x v="394"/>
    <x v="0"/>
    <x v="394"/>
    <n v="88412.22"/>
    <n v="5.93"/>
    <n v="776135.72"/>
    <x v="10"/>
    <n v="2030.03"/>
    <x v="3"/>
    <n v="18"/>
  </r>
  <r>
    <n v="100396"/>
    <x v="395"/>
    <s v="Customer_396"/>
    <x v="1"/>
    <x v="395"/>
    <x v="1"/>
    <x v="395"/>
    <n v="21442.53"/>
    <n v="9.41"/>
    <n v="642555.93000000005"/>
    <x v="13"/>
    <n v="41160.870000000003"/>
    <x v="3"/>
    <n v="18"/>
  </r>
  <r>
    <n v="100397"/>
    <x v="396"/>
    <s v="Customer_397"/>
    <x v="1"/>
    <x v="396"/>
    <x v="1"/>
    <x v="396"/>
    <n v="380544.67"/>
    <n v="10.35"/>
    <n v="774187.49"/>
    <x v="0"/>
    <n v="41417.83"/>
    <x v="4"/>
    <n v="18"/>
  </r>
  <r>
    <n v="100398"/>
    <x v="397"/>
    <s v="Customer_398"/>
    <x v="1"/>
    <x v="397"/>
    <x v="1"/>
    <x v="397"/>
    <n v="234676.27"/>
    <n v="4.63"/>
    <n v="86991.12"/>
    <x v="2"/>
    <n v="39599.370000000003"/>
    <x v="3"/>
    <n v="18"/>
  </r>
  <r>
    <n v="100399"/>
    <x v="398"/>
    <s v="Customer_399"/>
    <x v="0"/>
    <x v="398"/>
    <x v="1"/>
    <x v="398"/>
    <n v="151729.94"/>
    <n v="6.34"/>
    <n v="845263.65"/>
    <x v="18"/>
    <n v="14884.84"/>
    <x v="3"/>
    <n v="18"/>
  </r>
  <r>
    <n v="100400"/>
    <x v="399"/>
    <s v="Customer_400"/>
    <x v="1"/>
    <x v="399"/>
    <x v="0"/>
    <x v="399"/>
    <n v="451040.76"/>
    <n v="11.12"/>
    <n v="638549.89"/>
    <x v="4"/>
    <n v="42024.62"/>
    <x v="4"/>
    <n v="18"/>
  </r>
  <r>
    <n v="100401"/>
    <x v="400"/>
    <s v="Customer_401"/>
    <x v="0"/>
    <x v="400"/>
    <x v="1"/>
    <x v="400"/>
    <n v="66908.09"/>
    <n v="10.26"/>
    <n v="585225.57999999996"/>
    <x v="16"/>
    <n v="27606.91"/>
    <x v="4"/>
    <n v="18"/>
  </r>
  <r>
    <n v="100402"/>
    <x v="401"/>
    <s v="Customer_402"/>
    <x v="0"/>
    <x v="401"/>
    <x v="1"/>
    <x v="401"/>
    <n v="478400.23"/>
    <n v="11.86"/>
    <n v="643383.35"/>
    <x v="7"/>
    <n v="19316.599999999999"/>
    <x v="0"/>
    <n v="18"/>
  </r>
  <r>
    <n v="100403"/>
    <x v="402"/>
    <s v="Customer_403"/>
    <x v="0"/>
    <x v="402"/>
    <x v="1"/>
    <x v="402"/>
    <n v="163843.69"/>
    <n v="9.7899999999999991"/>
    <n v="871211.58"/>
    <x v="10"/>
    <n v="31641.17"/>
    <x v="0"/>
    <n v="18"/>
  </r>
  <r>
    <n v="100404"/>
    <x v="403"/>
    <s v="Customer_404"/>
    <x v="0"/>
    <x v="403"/>
    <x v="0"/>
    <x v="403"/>
    <n v="445317.8"/>
    <n v="6.54"/>
    <n v="607589.68000000005"/>
    <x v="13"/>
    <n v="1604.71"/>
    <x v="4"/>
    <n v="18"/>
  </r>
  <r>
    <n v="100405"/>
    <x v="404"/>
    <s v="Customer_405"/>
    <x v="2"/>
    <x v="404"/>
    <x v="0"/>
    <x v="404"/>
    <n v="305442.01"/>
    <n v="8.32"/>
    <n v="601902.86"/>
    <x v="2"/>
    <n v="8005.08"/>
    <x v="1"/>
    <n v="18"/>
  </r>
  <r>
    <n v="100406"/>
    <x v="405"/>
    <s v="Customer_406"/>
    <x v="2"/>
    <x v="405"/>
    <x v="0"/>
    <x v="405"/>
    <n v="415086.61"/>
    <n v="8.9499999999999993"/>
    <n v="991145.2"/>
    <x v="7"/>
    <n v="37372.379999999997"/>
    <x v="3"/>
    <n v="18"/>
  </r>
  <r>
    <n v="100407"/>
    <x v="406"/>
    <s v="Customer_407"/>
    <x v="1"/>
    <x v="406"/>
    <x v="0"/>
    <x v="406"/>
    <n v="492166.45"/>
    <n v="3.71"/>
    <n v="768893.66"/>
    <x v="3"/>
    <n v="12963.92"/>
    <x v="0"/>
    <n v="18"/>
  </r>
  <r>
    <n v="100408"/>
    <x v="407"/>
    <s v="Customer_408"/>
    <x v="2"/>
    <x v="407"/>
    <x v="0"/>
    <x v="407"/>
    <n v="151318.66"/>
    <n v="7.9"/>
    <n v="470179.12"/>
    <x v="17"/>
    <n v="30302.45"/>
    <x v="3"/>
    <n v="18"/>
  </r>
  <r>
    <n v="100409"/>
    <x v="408"/>
    <s v="Customer_409"/>
    <x v="2"/>
    <x v="408"/>
    <x v="0"/>
    <x v="408"/>
    <n v="480956.39"/>
    <n v="9.3800000000000008"/>
    <n v="722027.15"/>
    <x v="7"/>
    <n v="19870.03"/>
    <x v="2"/>
    <n v="18"/>
  </r>
  <r>
    <n v="100410"/>
    <x v="409"/>
    <s v="Customer_410"/>
    <x v="1"/>
    <x v="409"/>
    <x v="0"/>
    <x v="409"/>
    <n v="200846.13"/>
    <n v="4.51"/>
    <n v="419768.95"/>
    <x v="6"/>
    <n v="42885.48"/>
    <x v="4"/>
    <n v="18"/>
  </r>
  <r>
    <n v="100411"/>
    <x v="410"/>
    <s v="Customer_411"/>
    <x v="1"/>
    <x v="410"/>
    <x v="1"/>
    <x v="410"/>
    <n v="198900.83"/>
    <n v="10.029999999999999"/>
    <n v="267431.69"/>
    <x v="14"/>
    <n v="47668.35"/>
    <x v="1"/>
    <n v="18"/>
  </r>
  <r>
    <n v="100412"/>
    <x v="411"/>
    <s v="Customer_412"/>
    <x v="1"/>
    <x v="411"/>
    <x v="1"/>
    <x v="411"/>
    <n v="176789.68"/>
    <n v="8.25"/>
    <n v="617009.28"/>
    <x v="0"/>
    <n v="44294.67"/>
    <x v="2"/>
    <n v="18"/>
  </r>
  <r>
    <n v="100413"/>
    <x v="412"/>
    <s v="Customer_413"/>
    <x v="2"/>
    <x v="412"/>
    <x v="1"/>
    <x v="412"/>
    <n v="275289.73"/>
    <n v="11.57"/>
    <n v="931772.99"/>
    <x v="6"/>
    <n v="14260.38"/>
    <x v="2"/>
    <n v="18"/>
  </r>
  <r>
    <n v="100414"/>
    <x v="413"/>
    <s v="Customer_414"/>
    <x v="2"/>
    <x v="413"/>
    <x v="0"/>
    <x v="413"/>
    <n v="85531.07"/>
    <n v="3.38"/>
    <n v="932682.54"/>
    <x v="12"/>
    <n v="10513.98"/>
    <x v="2"/>
    <n v="18"/>
  </r>
  <r>
    <n v="100415"/>
    <x v="414"/>
    <s v="Customer_415"/>
    <x v="1"/>
    <x v="414"/>
    <x v="0"/>
    <x v="414"/>
    <n v="281318.63"/>
    <n v="5.39"/>
    <n v="374810.01"/>
    <x v="11"/>
    <n v="24247.31"/>
    <x v="4"/>
    <n v="18"/>
  </r>
  <r>
    <n v="100416"/>
    <x v="415"/>
    <s v="Customer_416"/>
    <x v="0"/>
    <x v="415"/>
    <x v="0"/>
    <x v="415"/>
    <n v="275435.36"/>
    <n v="8.41"/>
    <n v="551293.59"/>
    <x v="11"/>
    <n v="1359.37"/>
    <x v="0"/>
    <n v="18"/>
  </r>
  <r>
    <n v="100417"/>
    <x v="416"/>
    <s v="Customer_417"/>
    <x v="1"/>
    <x v="416"/>
    <x v="0"/>
    <x v="416"/>
    <n v="383331.89"/>
    <n v="5.67"/>
    <n v="251054.1"/>
    <x v="1"/>
    <n v="2264.66"/>
    <x v="4"/>
    <n v="18"/>
  </r>
  <r>
    <n v="100418"/>
    <x v="417"/>
    <s v="Customer_418"/>
    <x v="0"/>
    <x v="417"/>
    <x v="0"/>
    <x v="417"/>
    <n v="418488.48"/>
    <n v="9.43"/>
    <n v="995849.55"/>
    <x v="7"/>
    <n v="28111.24"/>
    <x v="0"/>
    <n v="18"/>
  </r>
  <r>
    <n v="100419"/>
    <x v="418"/>
    <s v="Customer_419"/>
    <x v="0"/>
    <x v="418"/>
    <x v="1"/>
    <x v="418"/>
    <n v="225816.26"/>
    <n v="9.83"/>
    <n v="982062.01"/>
    <x v="13"/>
    <n v="26502.02"/>
    <x v="2"/>
    <n v="18"/>
  </r>
  <r>
    <n v="100420"/>
    <x v="419"/>
    <s v="Customer_420"/>
    <x v="1"/>
    <x v="419"/>
    <x v="1"/>
    <x v="419"/>
    <n v="158143.29"/>
    <n v="3.92"/>
    <n v="667033.48"/>
    <x v="4"/>
    <n v="49734.52"/>
    <x v="2"/>
    <n v="18"/>
  </r>
  <r>
    <n v="100421"/>
    <x v="420"/>
    <s v="Customer_421"/>
    <x v="1"/>
    <x v="420"/>
    <x v="0"/>
    <x v="420"/>
    <n v="137074.1"/>
    <n v="7.62"/>
    <n v="814193.36"/>
    <x v="10"/>
    <n v="10890.25"/>
    <x v="1"/>
    <n v="18"/>
  </r>
  <r>
    <n v="100422"/>
    <x v="421"/>
    <s v="Customer_422"/>
    <x v="1"/>
    <x v="421"/>
    <x v="0"/>
    <x v="421"/>
    <n v="105365.68"/>
    <n v="7.58"/>
    <n v="729345.15"/>
    <x v="1"/>
    <n v="13647.09"/>
    <x v="0"/>
    <n v="18"/>
  </r>
  <r>
    <n v="100423"/>
    <x v="422"/>
    <s v="Customer_423"/>
    <x v="2"/>
    <x v="422"/>
    <x v="0"/>
    <x v="422"/>
    <n v="38247.32"/>
    <n v="6.32"/>
    <n v="613500.31000000006"/>
    <x v="12"/>
    <n v="6563.49"/>
    <x v="2"/>
    <n v="18"/>
  </r>
  <r>
    <n v="100424"/>
    <x v="423"/>
    <s v="Customer_424"/>
    <x v="0"/>
    <x v="423"/>
    <x v="0"/>
    <x v="423"/>
    <n v="177799.51"/>
    <n v="11.4"/>
    <n v="100680.6"/>
    <x v="5"/>
    <n v="45959.61"/>
    <x v="3"/>
    <n v="18"/>
  </r>
  <r>
    <n v="100425"/>
    <x v="424"/>
    <s v="Customer_425"/>
    <x v="2"/>
    <x v="424"/>
    <x v="1"/>
    <x v="424"/>
    <n v="142421.37"/>
    <n v="10.45"/>
    <n v="482026.13"/>
    <x v="3"/>
    <n v="39112.75"/>
    <x v="1"/>
    <n v="18"/>
  </r>
  <r>
    <n v="100426"/>
    <x v="425"/>
    <s v="Customer_426"/>
    <x v="2"/>
    <x v="425"/>
    <x v="0"/>
    <x v="425"/>
    <n v="483544.52"/>
    <n v="9.27"/>
    <n v="691046.99"/>
    <x v="9"/>
    <n v="41294.620000000003"/>
    <x v="4"/>
    <n v="18"/>
  </r>
  <r>
    <n v="100427"/>
    <x v="426"/>
    <s v="Customer_427"/>
    <x v="1"/>
    <x v="426"/>
    <x v="0"/>
    <x v="426"/>
    <n v="283277.32"/>
    <n v="9.43"/>
    <n v="693655.03"/>
    <x v="12"/>
    <n v="45235.43"/>
    <x v="1"/>
    <n v="18"/>
  </r>
  <r>
    <n v="100428"/>
    <x v="427"/>
    <s v="Customer_428"/>
    <x v="2"/>
    <x v="427"/>
    <x v="0"/>
    <x v="427"/>
    <n v="180165.75"/>
    <n v="7.16"/>
    <n v="404466.49"/>
    <x v="6"/>
    <n v="26720.1"/>
    <x v="3"/>
    <n v="18"/>
  </r>
  <r>
    <n v="100429"/>
    <x v="428"/>
    <s v="Customer_429"/>
    <x v="1"/>
    <x v="428"/>
    <x v="0"/>
    <x v="428"/>
    <n v="294429.12"/>
    <n v="11.29"/>
    <n v="944607.39"/>
    <x v="11"/>
    <n v="23108.47"/>
    <x v="0"/>
    <n v="18"/>
  </r>
  <r>
    <n v="100430"/>
    <x v="429"/>
    <s v="Customer_430"/>
    <x v="0"/>
    <x v="429"/>
    <x v="1"/>
    <x v="429"/>
    <n v="78206.38"/>
    <n v="9.25"/>
    <n v="208989.18"/>
    <x v="18"/>
    <n v="17189.18"/>
    <x v="4"/>
    <n v="18"/>
  </r>
  <r>
    <n v="100431"/>
    <x v="430"/>
    <s v="Customer_431"/>
    <x v="1"/>
    <x v="430"/>
    <x v="0"/>
    <x v="430"/>
    <n v="227581.44"/>
    <n v="9.56"/>
    <n v="525341.47"/>
    <x v="2"/>
    <n v="29871.52"/>
    <x v="4"/>
    <n v="18"/>
  </r>
  <r>
    <n v="100432"/>
    <x v="431"/>
    <s v="Customer_432"/>
    <x v="2"/>
    <x v="431"/>
    <x v="0"/>
    <x v="431"/>
    <n v="316854.82"/>
    <n v="10.76"/>
    <n v="706339.78"/>
    <x v="16"/>
    <n v="23259.64"/>
    <x v="0"/>
    <n v="18"/>
  </r>
  <r>
    <n v="100433"/>
    <x v="432"/>
    <s v="Customer_433"/>
    <x v="2"/>
    <x v="432"/>
    <x v="1"/>
    <x v="432"/>
    <n v="249559.94"/>
    <n v="5.47"/>
    <n v="712279.02"/>
    <x v="1"/>
    <n v="23126.71"/>
    <x v="1"/>
    <n v="18"/>
  </r>
  <r>
    <n v="100434"/>
    <x v="433"/>
    <s v="Customer_434"/>
    <x v="1"/>
    <x v="433"/>
    <x v="1"/>
    <x v="433"/>
    <n v="206871.61"/>
    <n v="10.26"/>
    <n v="666207.01"/>
    <x v="6"/>
    <n v="46909.47"/>
    <x v="2"/>
    <n v="18"/>
  </r>
  <r>
    <n v="100435"/>
    <x v="434"/>
    <s v="Customer_435"/>
    <x v="1"/>
    <x v="434"/>
    <x v="1"/>
    <x v="434"/>
    <n v="496985.71"/>
    <n v="4.76"/>
    <n v="311523.8"/>
    <x v="12"/>
    <n v="49217.54"/>
    <x v="1"/>
    <n v="18"/>
  </r>
  <r>
    <n v="100436"/>
    <x v="435"/>
    <s v="Customer_436"/>
    <x v="2"/>
    <x v="435"/>
    <x v="0"/>
    <x v="435"/>
    <n v="441354.23"/>
    <n v="6.11"/>
    <n v="198396.24"/>
    <x v="14"/>
    <n v="40027.74"/>
    <x v="3"/>
    <n v="18"/>
  </r>
  <r>
    <n v="100437"/>
    <x v="436"/>
    <s v="Customer_437"/>
    <x v="0"/>
    <x v="436"/>
    <x v="0"/>
    <x v="436"/>
    <n v="315468.92"/>
    <n v="6.02"/>
    <n v="654143.31000000006"/>
    <x v="0"/>
    <n v="38081.15"/>
    <x v="2"/>
    <n v="18"/>
  </r>
  <r>
    <n v="100438"/>
    <x v="437"/>
    <s v="Customer_438"/>
    <x v="0"/>
    <x v="437"/>
    <x v="1"/>
    <x v="437"/>
    <n v="288994.90999999997"/>
    <n v="11.81"/>
    <n v="619337.01"/>
    <x v="6"/>
    <n v="34347.35"/>
    <x v="1"/>
    <n v="18"/>
  </r>
  <r>
    <n v="100439"/>
    <x v="438"/>
    <s v="Customer_439"/>
    <x v="1"/>
    <x v="438"/>
    <x v="1"/>
    <x v="438"/>
    <n v="314123.64"/>
    <n v="10.71"/>
    <n v="220388.21"/>
    <x v="4"/>
    <n v="9137.67"/>
    <x v="0"/>
    <n v="18"/>
  </r>
  <r>
    <n v="100440"/>
    <x v="439"/>
    <s v="Customer_440"/>
    <x v="0"/>
    <x v="439"/>
    <x v="1"/>
    <x v="439"/>
    <n v="108642.93"/>
    <n v="9.31"/>
    <n v="719882.19"/>
    <x v="4"/>
    <n v="3896.19"/>
    <x v="3"/>
    <n v="18"/>
  </r>
  <r>
    <n v="100441"/>
    <x v="440"/>
    <s v="Customer_441"/>
    <x v="2"/>
    <x v="440"/>
    <x v="1"/>
    <x v="440"/>
    <n v="203617.49"/>
    <n v="9.5399999999999991"/>
    <n v="482413.39"/>
    <x v="8"/>
    <n v="34845.589999999997"/>
    <x v="3"/>
    <n v="18"/>
  </r>
  <r>
    <n v="100442"/>
    <x v="441"/>
    <s v="Customer_442"/>
    <x v="1"/>
    <x v="441"/>
    <x v="1"/>
    <x v="441"/>
    <n v="29335.17"/>
    <n v="8.06"/>
    <n v="684372.56"/>
    <x v="9"/>
    <n v="36710.519999999997"/>
    <x v="3"/>
    <n v="18"/>
  </r>
  <r>
    <n v="100443"/>
    <x v="442"/>
    <s v="Customer_443"/>
    <x v="2"/>
    <x v="442"/>
    <x v="1"/>
    <x v="442"/>
    <n v="243017.56"/>
    <n v="11.52"/>
    <n v="845498.73"/>
    <x v="9"/>
    <n v="3301.68"/>
    <x v="2"/>
    <n v="18"/>
  </r>
  <r>
    <n v="100444"/>
    <x v="443"/>
    <s v="Customer_444"/>
    <x v="2"/>
    <x v="443"/>
    <x v="0"/>
    <x v="443"/>
    <n v="276082.05"/>
    <n v="7.47"/>
    <n v="211242.01"/>
    <x v="8"/>
    <n v="46474.54"/>
    <x v="4"/>
    <n v="18"/>
  </r>
  <r>
    <n v="100445"/>
    <x v="444"/>
    <s v="Customer_445"/>
    <x v="0"/>
    <x v="444"/>
    <x v="0"/>
    <x v="444"/>
    <n v="121597.37"/>
    <n v="6.42"/>
    <n v="68187.62"/>
    <x v="16"/>
    <n v="5465.89"/>
    <x v="2"/>
    <n v="18"/>
  </r>
  <r>
    <n v="100446"/>
    <x v="445"/>
    <s v="Customer_446"/>
    <x v="1"/>
    <x v="445"/>
    <x v="0"/>
    <x v="445"/>
    <n v="482374.14"/>
    <n v="4.47"/>
    <n v="790147.46"/>
    <x v="17"/>
    <n v="15009.13"/>
    <x v="1"/>
    <n v="18"/>
  </r>
  <r>
    <n v="100447"/>
    <x v="446"/>
    <s v="Customer_447"/>
    <x v="1"/>
    <x v="446"/>
    <x v="1"/>
    <x v="446"/>
    <n v="455632.76"/>
    <n v="10.08"/>
    <n v="629212.55000000005"/>
    <x v="1"/>
    <n v="33947.1"/>
    <x v="4"/>
    <n v="18"/>
  </r>
  <r>
    <n v="100448"/>
    <x v="447"/>
    <s v="Customer_448"/>
    <x v="0"/>
    <x v="447"/>
    <x v="1"/>
    <x v="447"/>
    <n v="363850.19"/>
    <n v="9.61"/>
    <n v="714657.59"/>
    <x v="12"/>
    <n v="9323.76"/>
    <x v="1"/>
    <n v="18"/>
  </r>
  <r>
    <n v="100449"/>
    <x v="448"/>
    <s v="Customer_449"/>
    <x v="2"/>
    <x v="448"/>
    <x v="1"/>
    <x v="448"/>
    <n v="271359.45"/>
    <n v="6.46"/>
    <n v="846247.23"/>
    <x v="0"/>
    <n v="3715.38"/>
    <x v="4"/>
    <n v="18"/>
  </r>
  <r>
    <n v="100450"/>
    <x v="449"/>
    <s v="Customer_450"/>
    <x v="2"/>
    <x v="449"/>
    <x v="1"/>
    <x v="449"/>
    <n v="436284.89"/>
    <n v="3.23"/>
    <n v="812670.39"/>
    <x v="15"/>
    <n v="17226.18"/>
    <x v="2"/>
    <n v="18"/>
  </r>
  <r>
    <n v="100451"/>
    <x v="450"/>
    <s v="Customer_451"/>
    <x v="2"/>
    <x v="450"/>
    <x v="1"/>
    <x v="450"/>
    <n v="74019.649999999994"/>
    <n v="10.55"/>
    <n v="962874.14"/>
    <x v="14"/>
    <n v="38532.61"/>
    <x v="3"/>
    <n v="18"/>
  </r>
  <r>
    <n v="100452"/>
    <x v="451"/>
    <s v="Customer_452"/>
    <x v="2"/>
    <x v="451"/>
    <x v="1"/>
    <x v="451"/>
    <n v="397349.8"/>
    <n v="3.1"/>
    <n v="559138.31999999995"/>
    <x v="4"/>
    <n v="21270.26"/>
    <x v="0"/>
    <n v="18"/>
  </r>
  <r>
    <n v="100453"/>
    <x v="452"/>
    <s v="Customer_453"/>
    <x v="1"/>
    <x v="452"/>
    <x v="0"/>
    <x v="452"/>
    <n v="71162.2"/>
    <n v="9.33"/>
    <n v="514070.85"/>
    <x v="10"/>
    <n v="32995.67"/>
    <x v="3"/>
    <n v="18"/>
  </r>
  <r>
    <n v="100454"/>
    <x v="453"/>
    <s v="Customer_454"/>
    <x v="1"/>
    <x v="453"/>
    <x v="0"/>
    <x v="453"/>
    <n v="399163.22"/>
    <n v="11.73"/>
    <n v="431792.84"/>
    <x v="6"/>
    <n v="29401.34"/>
    <x v="2"/>
    <n v="18"/>
  </r>
  <r>
    <n v="100455"/>
    <x v="454"/>
    <s v="Customer_455"/>
    <x v="0"/>
    <x v="454"/>
    <x v="1"/>
    <x v="454"/>
    <n v="145126.10999999999"/>
    <n v="6.94"/>
    <n v="196006.49"/>
    <x v="0"/>
    <n v="2088.71"/>
    <x v="4"/>
    <n v="18"/>
  </r>
  <r>
    <n v="100456"/>
    <x v="455"/>
    <s v="Customer_456"/>
    <x v="0"/>
    <x v="455"/>
    <x v="0"/>
    <x v="455"/>
    <n v="439774.38"/>
    <n v="5.1100000000000003"/>
    <n v="593976.87"/>
    <x v="16"/>
    <n v="49438.46"/>
    <x v="3"/>
    <n v="18"/>
  </r>
  <r>
    <n v="100457"/>
    <x v="456"/>
    <s v="Customer_457"/>
    <x v="1"/>
    <x v="456"/>
    <x v="1"/>
    <x v="456"/>
    <n v="472580.63"/>
    <n v="9.34"/>
    <n v="313161.90000000002"/>
    <x v="3"/>
    <n v="3029.98"/>
    <x v="2"/>
    <n v="18"/>
  </r>
  <r>
    <n v="100458"/>
    <x v="457"/>
    <s v="Customer_458"/>
    <x v="1"/>
    <x v="457"/>
    <x v="0"/>
    <x v="457"/>
    <n v="82910.03"/>
    <n v="10.35"/>
    <n v="925242.14"/>
    <x v="5"/>
    <n v="48422.33"/>
    <x v="1"/>
    <n v="18"/>
  </r>
  <r>
    <n v="100459"/>
    <x v="458"/>
    <s v="Customer_459"/>
    <x v="2"/>
    <x v="458"/>
    <x v="1"/>
    <x v="458"/>
    <n v="236711.05"/>
    <n v="7.92"/>
    <n v="604031.26"/>
    <x v="15"/>
    <n v="27943.34"/>
    <x v="0"/>
    <n v="18"/>
  </r>
  <r>
    <n v="100460"/>
    <x v="459"/>
    <s v="Customer_460"/>
    <x v="2"/>
    <x v="459"/>
    <x v="1"/>
    <x v="459"/>
    <n v="490683.82"/>
    <n v="11.7"/>
    <n v="613198.17000000004"/>
    <x v="11"/>
    <n v="48194.79"/>
    <x v="3"/>
    <n v="18"/>
  </r>
  <r>
    <n v="100461"/>
    <x v="460"/>
    <s v="Customer_461"/>
    <x v="0"/>
    <x v="460"/>
    <x v="0"/>
    <x v="460"/>
    <n v="246869.64"/>
    <n v="3.47"/>
    <n v="387178.43"/>
    <x v="8"/>
    <n v="6622.93"/>
    <x v="4"/>
    <n v="18"/>
  </r>
  <r>
    <n v="100462"/>
    <x v="461"/>
    <s v="Customer_462"/>
    <x v="1"/>
    <x v="461"/>
    <x v="0"/>
    <x v="461"/>
    <n v="433138.29"/>
    <n v="7.54"/>
    <n v="99389.88"/>
    <x v="16"/>
    <n v="25030.02"/>
    <x v="1"/>
    <n v="18"/>
  </r>
  <r>
    <n v="100463"/>
    <x v="462"/>
    <s v="Customer_463"/>
    <x v="0"/>
    <x v="462"/>
    <x v="1"/>
    <x v="462"/>
    <n v="298478.45"/>
    <n v="9.4700000000000006"/>
    <n v="80156.58"/>
    <x v="16"/>
    <n v="9305.7000000000007"/>
    <x v="2"/>
    <n v="18"/>
  </r>
  <r>
    <n v="100464"/>
    <x v="463"/>
    <s v="Customer_464"/>
    <x v="1"/>
    <x v="463"/>
    <x v="1"/>
    <x v="463"/>
    <n v="193911.65"/>
    <n v="10.76"/>
    <n v="452168.39"/>
    <x v="6"/>
    <n v="3497.77"/>
    <x v="0"/>
    <n v="18"/>
  </r>
  <r>
    <n v="100465"/>
    <x v="464"/>
    <s v="Customer_465"/>
    <x v="2"/>
    <x v="464"/>
    <x v="0"/>
    <x v="464"/>
    <n v="150033.94"/>
    <n v="4.6100000000000003"/>
    <n v="130337.11"/>
    <x v="17"/>
    <n v="31258.93"/>
    <x v="4"/>
    <n v="18"/>
  </r>
  <r>
    <n v="100466"/>
    <x v="465"/>
    <s v="Customer_466"/>
    <x v="0"/>
    <x v="465"/>
    <x v="0"/>
    <x v="465"/>
    <n v="109579.31"/>
    <n v="10.199999999999999"/>
    <n v="626504.61"/>
    <x v="18"/>
    <n v="11181.39"/>
    <x v="2"/>
    <n v="18"/>
  </r>
  <r>
    <n v="100467"/>
    <x v="466"/>
    <s v="Customer_467"/>
    <x v="0"/>
    <x v="466"/>
    <x v="1"/>
    <x v="466"/>
    <n v="383281.11"/>
    <n v="7.97"/>
    <n v="886924.36"/>
    <x v="1"/>
    <n v="29797.15"/>
    <x v="2"/>
    <n v="18"/>
  </r>
  <r>
    <n v="100468"/>
    <x v="467"/>
    <s v="Customer_468"/>
    <x v="1"/>
    <x v="467"/>
    <x v="0"/>
    <x v="467"/>
    <n v="199404.85"/>
    <n v="6.57"/>
    <n v="888769.08"/>
    <x v="18"/>
    <n v="6505.86"/>
    <x v="3"/>
    <n v="18"/>
  </r>
  <r>
    <n v="100469"/>
    <x v="468"/>
    <s v="Customer_469"/>
    <x v="2"/>
    <x v="468"/>
    <x v="1"/>
    <x v="468"/>
    <n v="260524.98"/>
    <n v="4.1900000000000004"/>
    <n v="676093.14"/>
    <x v="13"/>
    <n v="17267.34"/>
    <x v="3"/>
    <n v="18"/>
  </r>
  <r>
    <n v="100470"/>
    <x v="469"/>
    <s v="Customer_470"/>
    <x v="0"/>
    <x v="469"/>
    <x v="1"/>
    <x v="469"/>
    <n v="251239.49"/>
    <n v="10.79"/>
    <n v="250670.24"/>
    <x v="10"/>
    <n v="39300"/>
    <x v="4"/>
    <n v="18"/>
  </r>
  <r>
    <n v="100471"/>
    <x v="470"/>
    <s v="Customer_471"/>
    <x v="2"/>
    <x v="470"/>
    <x v="1"/>
    <x v="470"/>
    <n v="292866.71999999997"/>
    <n v="4.42"/>
    <n v="869846.99"/>
    <x v="14"/>
    <n v="22415.52"/>
    <x v="2"/>
    <n v="18"/>
  </r>
  <r>
    <n v="100472"/>
    <x v="471"/>
    <s v="Customer_472"/>
    <x v="0"/>
    <x v="471"/>
    <x v="1"/>
    <x v="471"/>
    <n v="434132.8"/>
    <n v="5.79"/>
    <n v="891788.76"/>
    <x v="18"/>
    <n v="31759.53"/>
    <x v="3"/>
    <n v="18"/>
  </r>
  <r>
    <n v="100473"/>
    <x v="472"/>
    <s v="Customer_473"/>
    <x v="2"/>
    <x v="472"/>
    <x v="0"/>
    <x v="472"/>
    <n v="490562.28"/>
    <n v="5.61"/>
    <n v="236820.91"/>
    <x v="6"/>
    <n v="32725.439999999999"/>
    <x v="0"/>
    <n v="18"/>
  </r>
  <r>
    <n v="100474"/>
    <x v="473"/>
    <s v="Customer_474"/>
    <x v="1"/>
    <x v="473"/>
    <x v="0"/>
    <x v="473"/>
    <n v="209716.26"/>
    <n v="10.84"/>
    <n v="750554.78"/>
    <x v="5"/>
    <n v="42344"/>
    <x v="0"/>
    <n v="18"/>
  </r>
  <r>
    <n v="100475"/>
    <x v="474"/>
    <s v="Customer_475"/>
    <x v="0"/>
    <x v="474"/>
    <x v="0"/>
    <x v="474"/>
    <n v="415484.27"/>
    <n v="9.0500000000000007"/>
    <n v="322193.57"/>
    <x v="6"/>
    <n v="16921.22"/>
    <x v="2"/>
    <n v="18"/>
  </r>
  <r>
    <n v="100476"/>
    <x v="475"/>
    <s v="Customer_476"/>
    <x v="0"/>
    <x v="475"/>
    <x v="0"/>
    <x v="475"/>
    <n v="384618.62"/>
    <n v="10.17"/>
    <n v="812508.3"/>
    <x v="5"/>
    <n v="34677.480000000003"/>
    <x v="3"/>
    <n v="18"/>
  </r>
  <r>
    <n v="100477"/>
    <x v="476"/>
    <s v="Customer_477"/>
    <x v="2"/>
    <x v="476"/>
    <x v="0"/>
    <x v="476"/>
    <n v="291029.19"/>
    <n v="5.25"/>
    <n v="997376"/>
    <x v="16"/>
    <n v="48119.17"/>
    <x v="4"/>
    <n v="18"/>
  </r>
  <r>
    <n v="100478"/>
    <x v="477"/>
    <s v="Customer_478"/>
    <x v="2"/>
    <x v="477"/>
    <x v="0"/>
    <x v="477"/>
    <n v="478463.1"/>
    <n v="8.6199999999999992"/>
    <n v="78524.710000000006"/>
    <x v="5"/>
    <n v="36781.919999999998"/>
    <x v="4"/>
    <n v="18"/>
  </r>
  <r>
    <n v="100479"/>
    <x v="478"/>
    <s v="Customer_479"/>
    <x v="0"/>
    <x v="478"/>
    <x v="0"/>
    <x v="478"/>
    <n v="108232.51"/>
    <n v="8.15"/>
    <n v="902497.57"/>
    <x v="0"/>
    <n v="25003.65"/>
    <x v="4"/>
    <n v="18"/>
  </r>
  <r>
    <n v="100480"/>
    <x v="479"/>
    <s v="Customer_480"/>
    <x v="1"/>
    <x v="479"/>
    <x v="1"/>
    <x v="479"/>
    <n v="63539.46"/>
    <n v="10.5"/>
    <n v="641499.01"/>
    <x v="14"/>
    <n v="31905.15"/>
    <x v="0"/>
    <n v="18"/>
  </r>
  <r>
    <n v="100481"/>
    <x v="480"/>
    <s v="Customer_481"/>
    <x v="2"/>
    <x v="480"/>
    <x v="0"/>
    <x v="480"/>
    <n v="428441.36"/>
    <n v="11.15"/>
    <n v="974713.49"/>
    <x v="13"/>
    <n v="37244.46"/>
    <x v="3"/>
    <n v="18"/>
  </r>
  <r>
    <n v="100482"/>
    <x v="481"/>
    <s v="Customer_482"/>
    <x v="2"/>
    <x v="481"/>
    <x v="0"/>
    <x v="481"/>
    <n v="225183.41"/>
    <n v="3.11"/>
    <n v="491759.04"/>
    <x v="6"/>
    <n v="31001.51"/>
    <x v="3"/>
    <n v="18"/>
  </r>
  <r>
    <n v="100483"/>
    <x v="482"/>
    <s v="Customer_483"/>
    <x v="2"/>
    <x v="482"/>
    <x v="1"/>
    <x v="482"/>
    <n v="425014.74"/>
    <n v="9.07"/>
    <n v="855018.53"/>
    <x v="0"/>
    <n v="1817.11"/>
    <x v="0"/>
    <n v="18"/>
  </r>
  <r>
    <n v="100484"/>
    <x v="483"/>
    <s v="Customer_484"/>
    <x v="0"/>
    <x v="483"/>
    <x v="0"/>
    <x v="483"/>
    <n v="447614.2"/>
    <n v="3.47"/>
    <n v="109274.37"/>
    <x v="4"/>
    <n v="10543.9"/>
    <x v="4"/>
    <n v="18"/>
  </r>
  <r>
    <n v="100485"/>
    <x v="484"/>
    <s v="Customer_485"/>
    <x v="0"/>
    <x v="484"/>
    <x v="0"/>
    <x v="484"/>
    <n v="40604.22"/>
    <n v="7.94"/>
    <n v="368515.1"/>
    <x v="4"/>
    <n v="40712.94"/>
    <x v="4"/>
    <n v="18"/>
  </r>
  <r>
    <n v="100486"/>
    <x v="485"/>
    <s v="Customer_486"/>
    <x v="0"/>
    <x v="485"/>
    <x v="1"/>
    <x v="485"/>
    <n v="442897.73"/>
    <n v="5.59"/>
    <n v="113665.71"/>
    <x v="10"/>
    <n v="14359.88"/>
    <x v="2"/>
    <n v="18"/>
  </r>
  <r>
    <n v="100487"/>
    <x v="486"/>
    <s v="Customer_487"/>
    <x v="0"/>
    <x v="486"/>
    <x v="0"/>
    <x v="486"/>
    <n v="229676.34"/>
    <n v="5.76"/>
    <n v="976575.98"/>
    <x v="7"/>
    <n v="36846.54"/>
    <x v="1"/>
    <n v="18"/>
  </r>
  <r>
    <n v="100488"/>
    <x v="487"/>
    <s v="Customer_488"/>
    <x v="1"/>
    <x v="487"/>
    <x v="0"/>
    <x v="487"/>
    <n v="260111.92"/>
    <n v="6.18"/>
    <n v="826125.21"/>
    <x v="8"/>
    <n v="19233.89"/>
    <x v="3"/>
    <n v="18"/>
  </r>
  <r>
    <n v="100489"/>
    <x v="488"/>
    <s v="Customer_489"/>
    <x v="1"/>
    <x v="488"/>
    <x v="0"/>
    <x v="488"/>
    <n v="317030.33"/>
    <n v="8.59"/>
    <n v="859920.05"/>
    <x v="13"/>
    <n v="26572.33"/>
    <x v="3"/>
    <n v="18"/>
  </r>
  <r>
    <n v="100490"/>
    <x v="489"/>
    <s v="Customer_490"/>
    <x v="0"/>
    <x v="489"/>
    <x v="1"/>
    <x v="489"/>
    <n v="463927.48"/>
    <n v="6.01"/>
    <n v="941066.97"/>
    <x v="3"/>
    <n v="4330.6899999999996"/>
    <x v="3"/>
    <n v="18"/>
  </r>
  <r>
    <n v="100491"/>
    <x v="490"/>
    <s v="Customer_491"/>
    <x v="1"/>
    <x v="490"/>
    <x v="0"/>
    <x v="490"/>
    <n v="19366.89"/>
    <n v="9.59"/>
    <n v="130848.31"/>
    <x v="6"/>
    <n v="9880.0499999999993"/>
    <x v="1"/>
    <n v="18"/>
  </r>
  <r>
    <n v="100492"/>
    <x v="491"/>
    <s v="Customer_492"/>
    <x v="2"/>
    <x v="491"/>
    <x v="0"/>
    <x v="491"/>
    <n v="243653.3"/>
    <n v="6.64"/>
    <n v="416317.71"/>
    <x v="11"/>
    <n v="47902.65"/>
    <x v="2"/>
    <n v="18"/>
  </r>
  <r>
    <n v="100493"/>
    <x v="492"/>
    <s v="Customer_493"/>
    <x v="2"/>
    <x v="492"/>
    <x v="1"/>
    <x v="492"/>
    <n v="346983.8"/>
    <n v="3.62"/>
    <n v="117483.14"/>
    <x v="4"/>
    <n v="44616.76"/>
    <x v="1"/>
    <n v="18"/>
  </r>
  <r>
    <n v="100494"/>
    <x v="493"/>
    <s v="Customer_494"/>
    <x v="2"/>
    <x v="493"/>
    <x v="0"/>
    <x v="493"/>
    <n v="364126.41"/>
    <n v="10.050000000000001"/>
    <n v="250253.45"/>
    <x v="14"/>
    <n v="32961.480000000003"/>
    <x v="4"/>
    <n v="18"/>
  </r>
  <r>
    <n v="100495"/>
    <x v="494"/>
    <s v="Customer_495"/>
    <x v="0"/>
    <x v="494"/>
    <x v="1"/>
    <x v="494"/>
    <n v="349340.89"/>
    <n v="5.57"/>
    <n v="267897.49"/>
    <x v="8"/>
    <n v="23522.59"/>
    <x v="4"/>
    <n v="18"/>
  </r>
  <r>
    <n v="100496"/>
    <x v="495"/>
    <s v="Customer_496"/>
    <x v="2"/>
    <x v="495"/>
    <x v="1"/>
    <x v="495"/>
    <n v="75873.210000000006"/>
    <n v="6.89"/>
    <n v="495651.85"/>
    <x v="17"/>
    <n v="34112.300000000003"/>
    <x v="3"/>
    <n v="18"/>
  </r>
  <r>
    <n v="100497"/>
    <x v="496"/>
    <s v="Customer_497"/>
    <x v="1"/>
    <x v="496"/>
    <x v="0"/>
    <x v="496"/>
    <n v="156703.84"/>
    <n v="9.17"/>
    <n v="305134.06"/>
    <x v="11"/>
    <n v="31311.9"/>
    <x v="0"/>
    <n v="18"/>
  </r>
  <r>
    <n v="100498"/>
    <x v="497"/>
    <s v="Customer_498"/>
    <x v="0"/>
    <x v="497"/>
    <x v="1"/>
    <x v="497"/>
    <n v="185770.61"/>
    <n v="5.99"/>
    <n v="145929.20000000001"/>
    <x v="0"/>
    <n v="28859.06"/>
    <x v="3"/>
    <n v="18"/>
  </r>
  <r>
    <n v="100499"/>
    <x v="498"/>
    <s v="Customer_499"/>
    <x v="1"/>
    <x v="498"/>
    <x v="1"/>
    <x v="498"/>
    <n v="404174.23"/>
    <n v="3.51"/>
    <n v="209116.53"/>
    <x v="14"/>
    <n v="3899.68"/>
    <x v="0"/>
    <n v="18"/>
  </r>
  <r>
    <n v="100500"/>
    <x v="499"/>
    <s v="Customer_500"/>
    <x v="2"/>
    <x v="499"/>
    <x v="0"/>
    <x v="499"/>
    <n v="146592.34"/>
    <n v="6.37"/>
    <n v="189911.79"/>
    <x v="12"/>
    <n v="32007.33"/>
    <x v="1"/>
    <n v="18"/>
  </r>
  <r>
    <m/>
    <x v="500"/>
    <m/>
    <x v="3"/>
    <x v="500"/>
    <x v="2"/>
    <x v="500"/>
    <m/>
    <m/>
    <m/>
    <x v="19"/>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D3F52-0862-4072-AC72-9848C24A659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44" firstHeaderRow="1" firstDataRow="1" firstDataCol="1"/>
  <pivotFields count="16">
    <pivotField showAll="0"/>
    <pivotField showAll="0"/>
    <pivotField showAll="0"/>
    <pivotField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items count="7">
        <item x="3"/>
        <item x="4"/>
        <item x="2"/>
        <item x="0"/>
        <item x="1"/>
        <item x="5"/>
        <item t="default"/>
      </items>
    </pivotField>
    <pivotField showAll="0"/>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Count of Transaction_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E002A-CBEB-4A0C-9758-D910C7931C0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6">
    <pivotField showAll="0"/>
    <pivotField showAll="0"/>
    <pivotField showAll="0"/>
    <pivotField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dataField="1" showAll="0">
      <items count="502">
        <item x="395"/>
        <item x="375"/>
        <item x="360"/>
        <item x="217"/>
        <item x="273"/>
        <item x="226"/>
        <item x="220"/>
        <item x="287"/>
        <item x="492"/>
        <item x="50"/>
        <item x="444"/>
        <item x="170"/>
        <item x="443"/>
        <item x="484"/>
        <item x="377"/>
        <item x="124"/>
        <item x="254"/>
        <item x="268"/>
        <item x="300"/>
        <item x="340"/>
        <item x="22"/>
        <item x="497"/>
        <item x="472"/>
        <item x="190"/>
        <item x="188"/>
        <item x="414"/>
        <item x="95"/>
        <item x="185"/>
        <item x="199"/>
        <item x="485"/>
        <item x="403"/>
        <item x="482"/>
        <item x="262"/>
        <item x="80"/>
        <item x="169"/>
        <item x="471"/>
        <item x="78"/>
        <item x="272"/>
        <item x="271"/>
        <item x="413"/>
        <item x="71"/>
        <item x="459"/>
        <item x="150"/>
        <item x="288"/>
        <item x="269"/>
        <item x="72"/>
        <item x="128"/>
        <item x="424"/>
        <item x="118"/>
        <item x="399"/>
        <item x="41"/>
        <item x="49"/>
        <item x="102"/>
        <item x="236"/>
        <item x="283"/>
        <item x="364"/>
        <item x="197"/>
        <item x="67"/>
        <item x="179"/>
        <item x="15"/>
        <item x="232"/>
        <item x="142"/>
        <item x="434"/>
        <item x="195"/>
        <item x="295"/>
        <item x="320"/>
        <item x="9"/>
        <item x="120"/>
        <item x="310"/>
        <item x="66"/>
        <item x="208"/>
        <item x="342"/>
        <item x="158"/>
        <item x="458"/>
        <item x="171"/>
        <item x="467"/>
        <item x="59"/>
        <item x="223"/>
        <item x="487"/>
        <item x="194"/>
        <item x="167"/>
        <item x="421"/>
        <item x="383"/>
        <item x="238"/>
        <item x="264"/>
        <item x="184"/>
        <item x="111"/>
        <item x="465"/>
        <item x="358"/>
        <item x="341"/>
        <item x="45"/>
        <item x="152"/>
        <item x="282"/>
        <item x="164"/>
        <item x="98"/>
        <item x="336"/>
        <item x="10"/>
        <item x="12"/>
        <item x="440"/>
        <item x="281"/>
        <item x="454"/>
        <item x="371"/>
        <item x="74"/>
        <item x="211"/>
        <item x="321"/>
        <item x="100"/>
        <item x="379"/>
        <item x="367"/>
        <item x="294"/>
        <item x="140"/>
        <item x="29"/>
        <item x="345"/>
        <item x="225"/>
        <item x="181"/>
        <item x="48"/>
        <item x="425"/>
        <item x="313"/>
        <item x="76"/>
        <item x="28"/>
        <item x="54"/>
        <item x="82"/>
        <item x="109"/>
        <item x="35"/>
        <item x="193"/>
        <item x="319"/>
        <item x="227"/>
        <item x="361"/>
        <item x="475"/>
        <item x="477"/>
        <item x="329"/>
        <item x="252"/>
        <item x="17"/>
        <item x="450"/>
        <item x="221"/>
        <item x="499"/>
        <item x="474"/>
        <item x="126"/>
        <item x="286"/>
        <item x="410"/>
        <item x="478"/>
        <item x="7"/>
        <item x="446"/>
        <item x="70"/>
        <item x="37"/>
        <item x="473"/>
        <item x="0"/>
        <item x="324"/>
        <item x="303"/>
        <item x="290"/>
        <item x="277"/>
        <item x="352"/>
        <item x="448"/>
        <item x="125"/>
        <item x="196"/>
        <item x="149"/>
        <item x="131"/>
        <item x="384"/>
        <item x="204"/>
        <item x="1"/>
        <item x="4"/>
        <item x="176"/>
        <item x="249"/>
        <item x="75"/>
        <item x="87"/>
        <item x="239"/>
        <item x="382"/>
        <item x="422"/>
        <item x="88"/>
        <item x="415"/>
        <item x="442"/>
        <item x="311"/>
        <item x="154"/>
        <item x="490"/>
        <item x="105"/>
        <item x="278"/>
        <item x="276"/>
        <item x="34"/>
        <item x="77"/>
        <item x="372"/>
        <item x="397"/>
        <item x="127"/>
        <item x="441"/>
        <item x="168"/>
        <item x="212"/>
        <item x="381"/>
        <item x="387"/>
        <item x="314"/>
        <item x="242"/>
        <item x="144"/>
        <item x="293"/>
        <item x="437"/>
        <item x="55"/>
        <item x="392"/>
        <item x="243"/>
        <item x="132"/>
        <item x="166"/>
        <item x="110"/>
        <item x="365"/>
        <item x="151"/>
        <item x="61"/>
        <item x="435"/>
        <item x="31"/>
        <item x="489"/>
        <item x="393"/>
        <item x="8"/>
        <item x="213"/>
        <item x="218"/>
        <item x="498"/>
        <item x="431"/>
        <item x="39"/>
        <item x="207"/>
        <item x="62"/>
        <item x="451"/>
        <item x="315"/>
        <item x="175"/>
        <item x="423"/>
        <item x="462"/>
        <item x="251"/>
        <item x="316"/>
        <item x="178"/>
        <item x="420"/>
        <item x="133"/>
        <item x="388"/>
        <item x="480"/>
        <item x="210"/>
        <item x="103"/>
        <item x="43"/>
        <item x="234"/>
        <item x="456"/>
        <item x="244"/>
        <item x="187"/>
        <item x="331"/>
        <item x="256"/>
        <item x="359"/>
        <item x="94"/>
        <item x="241"/>
        <item x="401"/>
        <item x="219"/>
        <item x="457"/>
        <item x="19"/>
        <item x="161"/>
        <item x="483"/>
        <item x="231"/>
        <item x="237"/>
        <item x="461"/>
        <item x="57"/>
        <item x="137"/>
        <item x="412"/>
        <item x="165"/>
        <item x="346"/>
        <item x="177"/>
        <item x="351"/>
        <item x="200"/>
        <item x="266"/>
        <item x="135"/>
        <item x="419"/>
        <item x="447"/>
        <item x="263"/>
        <item x="79"/>
        <item x="116"/>
        <item x="13"/>
        <item x="206"/>
        <item x="299"/>
        <item x="488"/>
        <item x="86"/>
        <item x="224"/>
        <item x="101"/>
        <item x="3"/>
        <item x="114"/>
        <item x="83"/>
        <item x="349"/>
        <item x="337"/>
        <item x="53"/>
        <item x="233"/>
        <item x="173"/>
        <item x="21"/>
        <item x="130"/>
        <item x="374"/>
        <item x="368"/>
        <item x="92"/>
        <item x="495"/>
        <item x="406"/>
        <item x="405"/>
        <item x="96"/>
        <item x="353"/>
        <item x="16"/>
        <item x="438"/>
        <item x="69"/>
        <item x="404"/>
        <item x="306"/>
        <item x="44"/>
        <item x="439"/>
        <item x="400"/>
        <item x="350"/>
        <item x="391"/>
        <item x="56"/>
        <item x="426"/>
        <item x="134"/>
        <item x="25"/>
        <item x="305"/>
        <item x="407"/>
        <item x="162"/>
        <item x="52"/>
        <item x="466"/>
        <item x="5"/>
        <item x="30"/>
        <item x="317"/>
        <item x="261"/>
        <item x="296"/>
        <item x="203"/>
        <item x="370"/>
        <item x="182"/>
        <item x="396"/>
        <item x="117"/>
        <item x="42"/>
        <item x="205"/>
        <item x="292"/>
        <item x="23"/>
        <item x="432"/>
        <item x="356"/>
        <item x="260"/>
        <item x="257"/>
        <item x="180"/>
        <item x="156"/>
        <item x="51"/>
        <item x="402"/>
        <item x="430"/>
        <item x="298"/>
        <item x="323"/>
        <item x="183"/>
        <item x="85"/>
        <item x="335"/>
        <item x="309"/>
        <item x="469"/>
        <item x="258"/>
        <item x="284"/>
        <item x="280"/>
        <item x="91"/>
        <item x="493"/>
        <item x="106"/>
        <item x="40"/>
        <item x="89"/>
        <item x="408"/>
        <item x="267"/>
        <item x="11"/>
        <item x="250"/>
        <item x="354"/>
        <item x="99"/>
        <item x="198"/>
        <item x="64"/>
        <item x="153"/>
        <item x="191"/>
        <item x="60"/>
        <item x="394"/>
        <item x="417"/>
        <item x="123"/>
        <item x="14"/>
        <item x="6"/>
        <item x="270"/>
        <item x="63"/>
        <item x="389"/>
        <item x="68"/>
        <item x="343"/>
        <item x="362"/>
        <item x="460"/>
        <item x="333"/>
        <item x="463"/>
        <item x="93"/>
        <item x="348"/>
        <item x="369"/>
        <item x="215"/>
        <item x="427"/>
        <item x="46"/>
        <item x="240"/>
        <item x="265"/>
        <item x="275"/>
        <item x="378"/>
        <item x="307"/>
        <item x="468"/>
        <item x="330"/>
        <item x="119"/>
        <item x="104"/>
        <item x="479"/>
        <item x="222"/>
        <item x="376"/>
        <item x="357"/>
        <item x="285"/>
        <item x="163"/>
        <item x="464"/>
        <item x="291"/>
        <item x="216"/>
        <item x="297"/>
        <item x="279"/>
        <item x="334"/>
        <item x="481"/>
        <item x="36"/>
        <item x="186"/>
        <item x="122"/>
        <item x="373"/>
        <item x="416"/>
        <item x="245"/>
        <item x="433"/>
        <item x="248"/>
        <item x="418"/>
        <item x="148"/>
        <item x="398"/>
        <item x="107"/>
        <item x="302"/>
        <item x="366"/>
        <item x="81"/>
        <item x="229"/>
        <item x="455"/>
        <item x="2"/>
        <item x="409"/>
        <item x="147"/>
        <item x="20"/>
        <item x="308"/>
        <item x="202"/>
        <item x="325"/>
        <item x="143"/>
        <item x="344"/>
        <item x="26"/>
        <item x="157"/>
        <item x="38"/>
        <item x="411"/>
        <item x="121"/>
        <item x="214"/>
        <item x="445"/>
        <item x="436"/>
        <item x="32"/>
        <item x="347"/>
        <item x="253"/>
        <item x="453"/>
        <item x="332"/>
        <item x="115"/>
        <item x="235"/>
        <item x="327"/>
        <item x="139"/>
        <item x="326"/>
        <item x="159"/>
        <item x="47"/>
        <item x="146"/>
        <item x="452"/>
        <item x="355"/>
        <item x="385"/>
        <item x="145"/>
        <item x="84"/>
        <item x="27"/>
        <item x="390"/>
        <item x="209"/>
        <item x="322"/>
        <item x="246"/>
        <item x="73"/>
        <item x="259"/>
        <item x="491"/>
        <item x="33"/>
        <item x="255"/>
        <item x="476"/>
        <item x="486"/>
        <item x="328"/>
        <item x="136"/>
        <item x="160"/>
        <item x="113"/>
        <item x="108"/>
        <item x="312"/>
        <item x="141"/>
        <item x="429"/>
        <item x="496"/>
        <item x="129"/>
        <item x="339"/>
        <item x="449"/>
        <item x="318"/>
        <item x="24"/>
        <item x="247"/>
        <item x="274"/>
        <item x="470"/>
        <item x="97"/>
        <item x="380"/>
        <item x="230"/>
        <item x="18"/>
        <item x="172"/>
        <item x="494"/>
        <item x="174"/>
        <item x="289"/>
        <item x="301"/>
        <item x="155"/>
        <item x="228"/>
        <item x="304"/>
        <item x="192"/>
        <item x="338"/>
        <item x="58"/>
        <item x="65"/>
        <item x="363"/>
        <item x="138"/>
        <item x="112"/>
        <item x="90"/>
        <item x="189"/>
        <item x="386"/>
        <item x="201"/>
        <item x="428"/>
        <item x="500"/>
        <item t="default"/>
      </items>
    </pivotField>
    <pivotField showAll="0"/>
    <pivotField showAll="0"/>
    <pivotField showAll="0"/>
    <pivotField showAll="0"/>
    <pivotField showAll="0"/>
    <pivotField axis="axisRow" showAll="0">
      <items count="7">
        <item x="3"/>
        <item x="4"/>
        <item x="2"/>
        <item x="0"/>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7">
    <i>
      <x/>
    </i>
    <i>
      <x v="1"/>
    </i>
    <i>
      <x v="2"/>
    </i>
    <i>
      <x v="3"/>
    </i>
    <i>
      <x v="4"/>
    </i>
    <i>
      <x v="5"/>
    </i>
    <i t="grand">
      <x/>
    </i>
  </rowItems>
  <colItems count="1">
    <i/>
  </colItems>
  <dataFields count="1">
    <dataField name="Sum of Transaction_Amount" fld="6"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2C5BD-2410-4A7D-A879-AEB15832224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2:B43" firstHeaderRow="1" firstDataRow="1" firstDataCol="1"/>
  <pivotFields count="16">
    <pivotField showAll="0"/>
    <pivotField showAll="0"/>
    <pivotField showAll="0"/>
    <pivotField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showAll="0"/>
    <pivotField axis="axisRow" showAll="0">
      <items count="21">
        <item x="15"/>
        <item x="13"/>
        <item x="0"/>
        <item x="9"/>
        <item x="1"/>
        <item x="12"/>
        <item x="7"/>
        <item x="2"/>
        <item x="16"/>
        <item x="6"/>
        <item x="4"/>
        <item x="3"/>
        <item x="10"/>
        <item x="5"/>
        <item x="18"/>
        <item x="14"/>
        <item x="8"/>
        <item x="11"/>
        <item x="17"/>
        <item x="19"/>
        <item t="default"/>
      </items>
    </pivotField>
    <pivotField dataField="1" showAll="0"/>
    <pivotField showAll="0">
      <items count="7">
        <item x="3"/>
        <item x="4"/>
        <item x="2"/>
        <item x="0"/>
        <item x="1"/>
        <item x="5"/>
        <item t="default"/>
      </items>
    </pivotField>
    <pivotField showAll="0"/>
    <pivotField showAll="0" defaultSubtotal="0"/>
    <pivotField showAll="0" defaultSubtotal="0">
      <items count="4">
        <item x="0"/>
        <item x="1"/>
        <item x="2"/>
        <item x="3"/>
      </items>
    </pivotField>
  </pivotFields>
  <rowFields count="1">
    <field x="1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EMI" fld="11" subtotal="average" baseField="1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AFC03E-6863-4785-9285-8255A3E6937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8" firstHeaderRow="1" firstDataRow="1" firstDataCol="1"/>
  <pivotFields count="16">
    <pivotField showAll="0"/>
    <pivotField showAll="0"/>
    <pivotField showAll="0"/>
    <pivotField axis="axisRow"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dataField="1" showAll="0"/>
    <pivotField showAll="0"/>
    <pivotField showAll="0"/>
    <pivotField showAll="0">
      <items count="7">
        <item x="3"/>
        <item x="4"/>
        <item x="2"/>
        <item x="0"/>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Loan_Amount" fld="9" baseField="0" baseItem="0"/>
  </dataFields>
  <chartFormats count="19">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 chart="15" format="9">
      <pivotArea type="data" outline="0" fieldPosition="0">
        <references count="2">
          <reference field="4294967294" count="1" selected="0">
            <x v="0"/>
          </reference>
          <reference field="3" count="1" selected="0">
            <x v="2"/>
          </reference>
        </references>
      </pivotArea>
    </chartFormat>
    <chartFormat chart="1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7C135C-6FC1-4627-8FC2-8A00A8BCC89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6">
    <pivotField showAll="0"/>
    <pivotField showAll="0"/>
    <pivotField showAll="0"/>
    <pivotField axis="axisRow"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dataField="1" showAll="0"/>
    <pivotField showAll="0"/>
    <pivotField showAll="0"/>
    <pivotField showAll="0">
      <items count="7">
        <item x="3"/>
        <item x="4"/>
        <item x="2"/>
        <item x="0"/>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Loan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54B3C6-D0ED-4791-AB97-507360E9BDC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36" firstHeaderRow="1" firstDataRow="1" firstDataCol="1"/>
  <pivotFields count="16">
    <pivotField showAll="0"/>
    <pivotField showAll="0"/>
    <pivotField showAll="0"/>
    <pivotField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dataField="1" showAll="0"/>
    <pivotField showAll="0"/>
    <pivotField showAll="0"/>
    <pivotField showAll="0"/>
    <pivotField showAll="0"/>
    <pivotField showAll="0"/>
    <pivotField showAll="0">
      <items count="7">
        <item x="3"/>
        <item x="4"/>
        <item x="2"/>
        <item x="0"/>
        <item x="1"/>
        <item x="5"/>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22">
    <i>
      <x/>
    </i>
    <i r="1">
      <x/>
    </i>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Sum of Transaction_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4C2793-9709-4903-9C76-11398AE6A0D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B52" firstHeaderRow="1" firstDataRow="1" firstDataCol="1"/>
  <pivotFields count="16">
    <pivotField showAll="0"/>
    <pivotField showAll="0"/>
    <pivotField showAll="0"/>
    <pivotField axis="axisRow" showAll="0">
      <items count="5">
        <item x="0"/>
        <item x="1"/>
        <item x="2"/>
        <item x="3"/>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dataField="1" showAll="0"/>
    <pivotField showAll="0"/>
    <pivotField showAll="0"/>
    <pivotField showAll="0"/>
    <pivotField showAll="0"/>
    <pivotField showAll="0"/>
    <pivotField showAll="0">
      <items count="7">
        <item x="3"/>
        <item x="4"/>
        <item x="2"/>
        <item x="0"/>
        <item x="1"/>
        <item x="5"/>
        <item t="default"/>
      </items>
    </pivotField>
    <pivotField showAl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Transaction_Amount" fld="6"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446BD30-F5F8-46AD-AAF6-BD3B615216D2}" sourceName="Branch">
  <pivotTables>
    <pivotTable tabId="5" name="PivotTable1"/>
    <pivotTable tabId="5" name="PivotTable10"/>
    <pivotTable tabId="5" name="PivotTable11"/>
    <pivotTable tabId="5" name="PivotTable12"/>
    <pivotTable tabId="5" name="PivotTable2"/>
    <pivotTable tabId="5" name="PivotTable8"/>
    <pivotTable tabId="5" name="PivotTable9"/>
  </pivotTables>
  <data>
    <tabular pivotCacheId="565043998">
      <items count="6">
        <i x="3" s="1"/>
        <i x="4"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DA37E05C-7C8F-4072-ABC7-29D6E1006CCF}" sourceName="Account_Type">
  <pivotTables>
    <pivotTable tabId="5" name="PivotTable2"/>
    <pivotTable tabId="5" name="PivotTable1"/>
    <pivotTable tabId="5" name="PivotTable10"/>
    <pivotTable tabId="5" name="PivotTable11"/>
    <pivotTable tabId="5" name="PivotTable12"/>
    <pivotTable tabId="5" name="PivotTable8"/>
    <pivotTable tabId="5" name="PivotTable9"/>
  </pivotTables>
  <data>
    <tabular pivotCacheId="565043998">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4828CE5-3799-4AE2-A6E9-86ED04FF454E}" cache="Slicer_Branch" caption="Branch" rowHeight="234950"/>
  <slicer name="Account_Type" xr10:uid="{F370C169-3FC2-49CE-B5CE-F2C740CF7153}" cache="Slicer_Account_Type" caption="Accoun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838561-9C9F-4E60-B57B-A3737B572E54}" name="Table2" displayName="Table2" ref="A1:N501" totalsRowShown="0" headerRowDxfId="3" headerRowBorderDxfId="2" tableBorderDxfId="1">
  <autoFilter ref="A1:N501" xr:uid="{E4838561-9C9F-4E60-B57B-A3737B572E54}"/>
  <tableColumns count="14">
    <tableColumn id="1" xr3:uid="{0D9717AB-E7C8-4954-A6A9-E920081E5EAA}" name="Transaction_ID"/>
    <tableColumn id="2" xr3:uid="{F8214E57-8818-4DDA-A2E6-78369E4EA087}" name="Account_Number"/>
    <tableColumn id="3" xr3:uid="{94AC70FF-A667-4A89-A396-81017B7C88AD}" name="Customer_Name"/>
    <tableColumn id="4" xr3:uid="{6AD3D017-BCA6-4751-9521-0D7CC335EC30}" name="Account_Type"/>
    <tableColumn id="5" xr3:uid="{30191D09-4A47-478B-BC8D-CC32CAFF0577}" name="Transaction_Date" dataDxfId="0"/>
    <tableColumn id="6" xr3:uid="{634F21A7-A6C6-47A0-8645-2371F0944574}" name="Transaction_Type"/>
    <tableColumn id="7" xr3:uid="{0447F33E-0F3D-430E-A1FB-A6C24FBB78DF}" name="Transaction_Amount"/>
    <tableColumn id="8" xr3:uid="{4CD0219E-A121-40A3-A041-EB7A796B8D3E}" name="Opening_Balance"/>
    <tableColumn id="9" xr3:uid="{797150D4-2AE6-43FB-AD57-FC216C0CD06E}" name="Interest_Rate_%"/>
    <tableColumn id="10" xr3:uid="{96FFBEC6-273E-4344-B9BA-F386FF57CD26}" name="Loan_Amount"/>
    <tableColumn id="11" xr3:uid="{7C29AFBD-0FD4-4D08-BE3B-E39852F69F9E}" name="Tenure_Years"/>
    <tableColumn id="12" xr3:uid="{072D17EB-2E7C-4B55-8C45-EE1A2D521E1F}" name="EMI"/>
    <tableColumn id="13" xr3:uid="{58DDF3CF-7175-4D23-B746-3630C03ACC11}" name="Branch"/>
    <tableColumn id="14" xr3:uid="{1E140E22-84F0-472B-B33F-254190AA04E5}" name="GST_%"/>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opLeftCell="E1" workbookViewId="0">
      <selection activeCell="L1" sqref="L1"/>
    </sheetView>
  </sheetViews>
  <sheetFormatPr defaultRowHeight="14.4" x14ac:dyDescent="0.3"/>
  <cols>
    <col min="1" max="1" width="13.6640625" bestFit="1" customWidth="1"/>
    <col min="2" max="2" width="16" bestFit="1" customWidth="1"/>
    <col min="3" max="3" width="15.21875" bestFit="1" customWidth="1"/>
    <col min="4" max="4" width="13.21875" bestFit="1" customWidth="1"/>
    <col min="5" max="5" width="18.109375" bestFit="1" customWidth="1"/>
    <col min="6" max="6" width="16" bestFit="1" customWidth="1"/>
    <col min="7" max="7" width="18.88671875" bestFit="1" customWidth="1"/>
    <col min="8" max="8" width="15.77734375" bestFit="1" customWidth="1"/>
    <col min="9" max="9" width="14.77734375" bestFit="1" customWidth="1"/>
    <col min="10" max="10" width="13.109375" bestFit="1" customWidth="1"/>
    <col min="11" max="11" width="12.33203125" bestFit="1" customWidth="1"/>
    <col min="12" max="12" width="9" bestFit="1" customWidth="1"/>
    <col min="13" max="13" width="9.77734375" bestFit="1" customWidth="1"/>
    <col min="14" max="14" width="6.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100001</v>
      </c>
      <c r="B2">
        <v>1787846414</v>
      </c>
      <c r="C2" t="s">
        <v>14</v>
      </c>
      <c r="D2" t="s">
        <v>514</v>
      </c>
      <c r="E2" s="2">
        <v>45292</v>
      </c>
      <c r="F2" t="s">
        <v>517</v>
      </c>
      <c r="G2">
        <v>14601.21</v>
      </c>
      <c r="H2">
        <v>368102.27</v>
      </c>
      <c r="I2">
        <v>4.9000000000000004</v>
      </c>
      <c r="J2">
        <v>947226.15</v>
      </c>
      <c r="K2">
        <v>3</v>
      </c>
      <c r="L2">
        <v>39299.160000000003</v>
      </c>
      <c r="M2" t="s">
        <v>519</v>
      </c>
      <c r="N2">
        <v>18</v>
      </c>
    </row>
    <row r="3" spans="1:14" x14ac:dyDescent="0.3">
      <c r="A3">
        <v>100002</v>
      </c>
      <c r="B3">
        <v>3563451924</v>
      </c>
      <c r="C3" t="s">
        <v>15</v>
      </c>
      <c r="D3" t="s">
        <v>515</v>
      </c>
      <c r="E3" s="2">
        <v>45293</v>
      </c>
      <c r="F3" t="s">
        <v>518</v>
      </c>
      <c r="G3">
        <v>15710.85</v>
      </c>
      <c r="H3">
        <v>490835.57</v>
      </c>
      <c r="I3">
        <v>11.62</v>
      </c>
      <c r="J3">
        <v>659647.68000000005</v>
      </c>
      <c r="K3">
        <v>5</v>
      </c>
      <c r="L3">
        <v>16371.62</v>
      </c>
      <c r="M3" t="s">
        <v>520</v>
      </c>
      <c r="N3">
        <v>18</v>
      </c>
    </row>
    <row r="4" spans="1:14" x14ac:dyDescent="0.3">
      <c r="A4">
        <v>100003</v>
      </c>
      <c r="B4">
        <v>5537253172</v>
      </c>
      <c r="C4" t="s">
        <v>16</v>
      </c>
      <c r="D4" t="s">
        <v>514</v>
      </c>
      <c r="E4" s="2">
        <v>45294</v>
      </c>
      <c r="F4" t="s">
        <v>517</v>
      </c>
      <c r="G4">
        <v>40249.78</v>
      </c>
      <c r="H4">
        <v>135699.73000000001</v>
      </c>
      <c r="I4">
        <v>3.08</v>
      </c>
      <c r="J4">
        <v>687905.19</v>
      </c>
      <c r="K4">
        <v>8</v>
      </c>
      <c r="L4">
        <v>13145.79</v>
      </c>
      <c r="M4" t="s">
        <v>521</v>
      </c>
      <c r="N4">
        <v>18</v>
      </c>
    </row>
    <row r="5" spans="1:14" x14ac:dyDescent="0.3">
      <c r="A5">
        <v>100004</v>
      </c>
      <c r="B5">
        <v>8395928407</v>
      </c>
      <c r="C5" t="s">
        <v>17</v>
      </c>
      <c r="D5" t="s">
        <v>516</v>
      </c>
      <c r="E5" s="2">
        <v>45295</v>
      </c>
      <c r="F5" t="s">
        <v>518</v>
      </c>
      <c r="G5">
        <v>27188.48</v>
      </c>
      <c r="H5">
        <v>330545.55</v>
      </c>
      <c r="I5">
        <v>11.98</v>
      </c>
      <c r="J5">
        <v>650668.05000000005</v>
      </c>
      <c r="K5">
        <v>8</v>
      </c>
      <c r="L5">
        <v>35188.1</v>
      </c>
      <c r="M5" t="s">
        <v>520</v>
      </c>
      <c r="N5">
        <v>18</v>
      </c>
    </row>
    <row r="6" spans="1:14" x14ac:dyDescent="0.3">
      <c r="A6">
        <v>100005</v>
      </c>
      <c r="B6">
        <v>5298312065</v>
      </c>
      <c r="C6" t="s">
        <v>18</v>
      </c>
      <c r="D6" t="s">
        <v>516</v>
      </c>
      <c r="E6" s="2">
        <v>45296</v>
      </c>
      <c r="F6" t="s">
        <v>518</v>
      </c>
      <c r="G6">
        <v>15909.73</v>
      </c>
      <c r="H6">
        <v>107067.84</v>
      </c>
      <c r="I6">
        <v>9.09</v>
      </c>
      <c r="J6">
        <v>239042.53</v>
      </c>
      <c r="K6">
        <v>8</v>
      </c>
      <c r="L6">
        <v>18841.53</v>
      </c>
      <c r="M6" t="s">
        <v>521</v>
      </c>
      <c r="N6">
        <v>18</v>
      </c>
    </row>
    <row r="7" spans="1:14" x14ac:dyDescent="0.3">
      <c r="A7">
        <v>100006</v>
      </c>
      <c r="B7">
        <v>3652062880</v>
      </c>
      <c r="C7" t="s">
        <v>19</v>
      </c>
      <c r="D7" t="s">
        <v>516</v>
      </c>
      <c r="E7" s="2">
        <v>45297</v>
      </c>
      <c r="F7" t="s">
        <v>517</v>
      </c>
      <c r="G7">
        <v>30711.52</v>
      </c>
      <c r="H7">
        <v>287011.82</v>
      </c>
      <c r="I7">
        <v>10.46</v>
      </c>
      <c r="J7">
        <v>447417.17</v>
      </c>
      <c r="K7">
        <v>12</v>
      </c>
      <c r="L7">
        <v>28744.54</v>
      </c>
      <c r="M7" t="s">
        <v>522</v>
      </c>
      <c r="N7">
        <v>18</v>
      </c>
    </row>
    <row r="8" spans="1:14" x14ac:dyDescent="0.3">
      <c r="A8">
        <v>100007</v>
      </c>
      <c r="B8">
        <v>5325316860</v>
      </c>
      <c r="C8" t="s">
        <v>20</v>
      </c>
      <c r="D8" t="s">
        <v>515</v>
      </c>
      <c r="E8" s="2">
        <v>45298</v>
      </c>
      <c r="F8" t="s">
        <v>518</v>
      </c>
      <c r="G8">
        <v>35949.46</v>
      </c>
      <c r="H8">
        <v>237326.92</v>
      </c>
      <c r="I8">
        <v>5.65</v>
      </c>
      <c r="J8">
        <v>763392.81</v>
      </c>
      <c r="K8">
        <v>8</v>
      </c>
      <c r="L8">
        <v>1306.6199999999999</v>
      </c>
      <c r="M8" t="s">
        <v>521</v>
      </c>
      <c r="N8">
        <v>18</v>
      </c>
    </row>
    <row r="9" spans="1:14" x14ac:dyDescent="0.3">
      <c r="A9">
        <v>100008</v>
      </c>
      <c r="B9">
        <v>3253890010</v>
      </c>
      <c r="C9" t="s">
        <v>21</v>
      </c>
      <c r="D9" t="s">
        <v>514</v>
      </c>
      <c r="E9" s="2">
        <v>45299</v>
      </c>
      <c r="F9" t="s">
        <v>518</v>
      </c>
      <c r="G9">
        <v>13994.89</v>
      </c>
      <c r="H9">
        <v>486282.61</v>
      </c>
      <c r="I9">
        <v>3.13</v>
      </c>
      <c r="J9">
        <v>146304.25</v>
      </c>
      <c r="K9">
        <v>11</v>
      </c>
      <c r="L9">
        <v>4032.4</v>
      </c>
      <c r="M9" t="s">
        <v>523</v>
      </c>
      <c r="N9">
        <v>18</v>
      </c>
    </row>
    <row r="10" spans="1:14" x14ac:dyDescent="0.3">
      <c r="A10">
        <v>100009</v>
      </c>
      <c r="B10">
        <v>5495394815</v>
      </c>
      <c r="C10" t="s">
        <v>22</v>
      </c>
      <c r="D10" t="s">
        <v>516</v>
      </c>
      <c r="E10" s="2">
        <v>45300</v>
      </c>
      <c r="F10" t="s">
        <v>518</v>
      </c>
      <c r="G10">
        <v>20970.68</v>
      </c>
      <c r="H10">
        <v>308178.36</v>
      </c>
      <c r="I10">
        <v>9.64</v>
      </c>
      <c r="J10">
        <v>313960.14</v>
      </c>
      <c r="K10">
        <v>14</v>
      </c>
      <c r="L10">
        <v>27233.03</v>
      </c>
      <c r="M10" t="s">
        <v>523</v>
      </c>
      <c r="N10">
        <v>18</v>
      </c>
    </row>
    <row r="11" spans="1:14" x14ac:dyDescent="0.3">
      <c r="A11">
        <v>100010</v>
      </c>
      <c r="B11">
        <v>5684118973</v>
      </c>
      <c r="C11" t="s">
        <v>23</v>
      </c>
      <c r="D11" t="s">
        <v>516</v>
      </c>
      <c r="E11" s="2">
        <v>45301</v>
      </c>
      <c r="F11" t="s">
        <v>518</v>
      </c>
      <c r="G11">
        <v>6533.36</v>
      </c>
      <c r="H11">
        <v>181258.12</v>
      </c>
      <c r="I11">
        <v>10.51</v>
      </c>
      <c r="J11">
        <v>312503.15000000002</v>
      </c>
      <c r="K11">
        <v>8</v>
      </c>
      <c r="L11">
        <v>28737.51</v>
      </c>
      <c r="M11" t="s">
        <v>523</v>
      </c>
      <c r="N11">
        <v>18</v>
      </c>
    </row>
    <row r="12" spans="1:14" x14ac:dyDescent="0.3">
      <c r="A12">
        <v>100011</v>
      </c>
      <c r="B12">
        <v>2934879560</v>
      </c>
      <c r="C12" t="s">
        <v>24</v>
      </c>
      <c r="D12" t="s">
        <v>514</v>
      </c>
      <c r="E12" s="2">
        <v>45302</v>
      </c>
      <c r="F12" t="s">
        <v>518</v>
      </c>
      <c r="G12">
        <v>9466.89</v>
      </c>
      <c r="H12">
        <v>65906.929999999993</v>
      </c>
      <c r="I12">
        <v>9.66</v>
      </c>
      <c r="J12">
        <v>460417.98</v>
      </c>
      <c r="K12">
        <v>10</v>
      </c>
      <c r="L12">
        <v>37821.19</v>
      </c>
      <c r="M12" t="s">
        <v>519</v>
      </c>
      <c r="N12">
        <v>18</v>
      </c>
    </row>
    <row r="13" spans="1:14" x14ac:dyDescent="0.3">
      <c r="A13">
        <v>100012</v>
      </c>
      <c r="B13">
        <v>9646907153</v>
      </c>
      <c r="C13" t="s">
        <v>25</v>
      </c>
      <c r="D13" t="s">
        <v>516</v>
      </c>
      <c r="E13" s="2">
        <v>45303</v>
      </c>
      <c r="F13" t="s">
        <v>517</v>
      </c>
      <c r="G13">
        <v>34215.33</v>
      </c>
      <c r="H13">
        <v>84110.95</v>
      </c>
      <c r="I13">
        <v>4.29</v>
      </c>
      <c r="J13">
        <v>981350.3</v>
      </c>
      <c r="K13">
        <v>7</v>
      </c>
      <c r="L13">
        <v>7466.3</v>
      </c>
      <c r="M13" t="s">
        <v>519</v>
      </c>
      <c r="N13">
        <v>18</v>
      </c>
    </row>
    <row r="14" spans="1:14" x14ac:dyDescent="0.3">
      <c r="A14">
        <v>100013</v>
      </c>
      <c r="B14">
        <v>6950318585</v>
      </c>
      <c r="C14" t="s">
        <v>26</v>
      </c>
      <c r="D14" t="s">
        <v>514</v>
      </c>
      <c r="E14" s="2">
        <v>45304</v>
      </c>
      <c r="F14" t="s">
        <v>518</v>
      </c>
      <c r="G14">
        <v>9481.2000000000007</v>
      </c>
      <c r="H14">
        <v>120405.3</v>
      </c>
      <c r="I14">
        <v>9.7799999999999994</v>
      </c>
      <c r="J14">
        <v>114127.42</v>
      </c>
      <c r="K14">
        <v>17</v>
      </c>
      <c r="L14">
        <v>26145.97</v>
      </c>
      <c r="M14" t="s">
        <v>519</v>
      </c>
      <c r="N14">
        <v>18</v>
      </c>
    </row>
    <row r="15" spans="1:14" x14ac:dyDescent="0.3">
      <c r="A15">
        <v>100014</v>
      </c>
      <c r="B15">
        <v>1068574553</v>
      </c>
      <c r="C15" t="s">
        <v>27</v>
      </c>
      <c r="D15" t="s">
        <v>514</v>
      </c>
      <c r="E15" s="2">
        <v>45305</v>
      </c>
      <c r="F15" t="s">
        <v>518</v>
      </c>
      <c r="G15">
        <v>26495.59</v>
      </c>
      <c r="H15">
        <v>132973.66</v>
      </c>
      <c r="I15">
        <v>9.92</v>
      </c>
      <c r="J15">
        <v>542765.93999999994</v>
      </c>
      <c r="K15">
        <v>4</v>
      </c>
      <c r="L15">
        <v>10527.93</v>
      </c>
      <c r="M15" t="s">
        <v>521</v>
      </c>
      <c r="N15">
        <v>18</v>
      </c>
    </row>
    <row r="16" spans="1:14" x14ac:dyDescent="0.3">
      <c r="A16">
        <v>100015</v>
      </c>
      <c r="B16">
        <v>1991681409</v>
      </c>
      <c r="C16" t="s">
        <v>28</v>
      </c>
      <c r="D16" t="s">
        <v>514</v>
      </c>
      <c r="E16" s="2">
        <v>45306</v>
      </c>
      <c r="F16" t="s">
        <v>518</v>
      </c>
      <c r="G16">
        <v>35597.79</v>
      </c>
      <c r="H16">
        <v>426801.87</v>
      </c>
      <c r="I16">
        <v>8.93</v>
      </c>
      <c r="J16">
        <v>220396.45</v>
      </c>
      <c r="K16">
        <v>13</v>
      </c>
      <c r="L16">
        <v>5566.61</v>
      </c>
      <c r="M16" t="s">
        <v>519</v>
      </c>
      <c r="N16">
        <v>18</v>
      </c>
    </row>
    <row r="17" spans="1:14" x14ac:dyDescent="0.3">
      <c r="A17">
        <v>100016</v>
      </c>
      <c r="B17">
        <v>4578544903</v>
      </c>
      <c r="C17" t="s">
        <v>29</v>
      </c>
      <c r="D17" t="s">
        <v>514</v>
      </c>
      <c r="E17" s="2">
        <v>45307</v>
      </c>
      <c r="F17" t="s">
        <v>518</v>
      </c>
      <c r="G17">
        <v>5790.41</v>
      </c>
      <c r="H17">
        <v>284999.17</v>
      </c>
      <c r="I17">
        <v>9.9</v>
      </c>
      <c r="J17">
        <v>972142.72</v>
      </c>
      <c r="K17">
        <v>4</v>
      </c>
      <c r="L17">
        <v>21114.29</v>
      </c>
      <c r="M17" t="s">
        <v>522</v>
      </c>
      <c r="N17">
        <v>18</v>
      </c>
    </row>
    <row r="18" spans="1:14" x14ac:dyDescent="0.3">
      <c r="A18">
        <v>100017</v>
      </c>
      <c r="B18">
        <v>6974559824</v>
      </c>
      <c r="C18" t="s">
        <v>30</v>
      </c>
      <c r="D18" t="s">
        <v>514</v>
      </c>
      <c r="E18" s="2">
        <v>45308</v>
      </c>
      <c r="F18" t="s">
        <v>518</v>
      </c>
      <c r="G18">
        <v>28581.95</v>
      </c>
      <c r="H18">
        <v>266461.55</v>
      </c>
      <c r="I18">
        <v>10.61</v>
      </c>
      <c r="J18">
        <v>157638.32999999999</v>
      </c>
      <c r="K18">
        <v>5</v>
      </c>
      <c r="L18">
        <v>9003.5</v>
      </c>
      <c r="M18" t="s">
        <v>523</v>
      </c>
      <c r="N18">
        <v>18</v>
      </c>
    </row>
    <row r="19" spans="1:14" x14ac:dyDescent="0.3">
      <c r="A19">
        <v>100018</v>
      </c>
      <c r="B19">
        <v>7120997885</v>
      </c>
      <c r="C19" t="s">
        <v>31</v>
      </c>
      <c r="D19" t="s">
        <v>515</v>
      </c>
      <c r="E19" s="2">
        <v>45309</v>
      </c>
      <c r="F19" t="s">
        <v>517</v>
      </c>
      <c r="G19">
        <v>13199.86</v>
      </c>
      <c r="H19">
        <v>66236.75</v>
      </c>
      <c r="I19">
        <v>8.52</v>
      </c>
      <c r="J19">
        <v>433420.95</v>
      </c>
      <c r="K19">
        <v>4</v>
      </c>
      <c r="L19">
        <v>11867.32</v>
      </c>
      <c r="M19" t="s">
        <v>521</v>
      </c>
      <c r="N19">
        <v>18</v>
      </c>
    </row>
    <row r="20" spans="1:14" x14ac:dyDescent="0.3">
      <c r="A20">
        <v>100019</v>
      </c>
      <c r="B20">
        <v>6188069941</v>
      </c>
      <c r="C20" t="s">
        <v>32</v>
      </c>
      <c r="D20" t="s">
        <v>516</v>
      </c>
      <c r="E20" s="2">
        <v>45310</v>
      </c>
      <c r="F20" t="s">
        <v>518</v>
      </c>
      <c r="G20">
        <v>48164.88</v>
      </c>
      <c r="H20">
        <v>431468.45</v>
      </c>
      <c r="I20">
        <v>3.8</v>
      </c>
      <c r="J20">
        <v>750990.74</v>
      </c>
      <c r="K20">
        <v>18</v>
      </c>
      <c r="L20">
        <v>16560.169999999998</v>
      </c>
      <c r="M20" t="s">
        <v>523</v>
      </c>
      <c r="N20">
        <v>18</v>
      </c>
    </row>
    <row r="21" spans="1:14" x14ac:dyDescent="0.3">
      <c r="A21">
        <v>100020</v>
      </c>
      <c r="B21">
        <v>7733221635</v>
      </c>
      <c r="C21" t="s">
        <v>33</v>
      </c>
      <c r="D21" t="s">
        <v>515</v>
      </c>
      <c r="E21" s="2">
        <v>45311</v>
      </c>
      <c r="F21" t="s">
        <v>517</v>
      </c>
      <c r="G21">
        <v>24435.51</v>
      </c>
      <c r="H21">
        <v>364179.01</v>
      </c>
      <c r="I21">
        <v>7.39</v>
      </c>
      <c r="J21">
        <v>719326.71</v>
      </c>
      <c r="K21">
        <v>6</v>
      </c>
      <c r="L21">
        <v>13710.03</v>
      </c>
      <c r="M21" t="s">
        <v>519</v>
      </c>
      <c r="N21">
        <v>18</v>
      </c>
    </row>
    <row r="22" spans="1:14" x14ac:dyDescent="0.3">
      <c r="A22">
        <v>100021</v>
      </c>
      <c r="B22">
        <v>5429456860</v>
      </c>
      <c r="C22" t="s">
        <v>34</v>
      </c>
      <c r="D22" t="s">
        <v>516</v>
      </c>
      <c r="E22" s="2">
        <v>45312</v>
      </c>
      <c r="F22" t="s">
        <v>517</v>
      </c>
      <c r="G22">
        <v>40396.629999999997</v>
      </c>
      <c r="H22">
        <v>43157.5</v>
      </c>
      <c r="I22">
        <v>3.7</v>
      </c>
      <c r="J22">
        <v>451592.21</v>
      </c>
      <c r="K22">
        <v>2</v>
      </c>
      <c r="L22">
        <v>5291.97</v>
      </c>
      <c r="M22" t="s">
        <v>521</v>
      </c>
      <c r="N22">
        <v>18</v>
      </c>
    </row>
    <row r="23" spans="1:14" x14ac:dyDescent="0.3">
      <c r="A23">
        <v>100022</v>
      </c>
      <c r="B23">
        <v>7226646571</v>
      </c>
      <c r="C23" t="s">
        <v>35</v>
      </c>
      <c r="D23" t="s">
        <v>515</v>
      </c>
      <c r="E23" s="2">
        <v>45313</v>
      </c>
      <c r="F23" t="s">
        <v>517</v>
      </c>
      <c r="G23">
        <v>27736.21</v>
      </c>
      <c r="H23">
        <v>356839.2</v>
      </c>
      <c r="I23">
        <v>6.67</v>
      </c>
      <c r="J23">
        <v>379197.96</v>
      </c>
      <c r="K23">
        <v>11</v>
      </c>
      <c r="L23">
        <v>5405.9</v>
      </c>
      <c r="M23" t="s">
        <v>520</v>
      </c>
      <c r="N23">
        <v>18</v>
      </c>
    </row>
    <row r="24" spans="1:14" x14ac:dyDescent="0.3">
      <c r="A24">
        <v>100023</v>
      </c>
      <c r="B24">
        <v>6992124617</v>
      </c>
      <c r="C24" t="s">
        <v>36</v>
      </c>
      <c r="D24" t="s">
        <v>514</v>
      </c>
      <c r="E24" s="2">
        <v>45314</v>
      </c>
      <c r="F24" t="s">
        <v>517</v>
      </c>
      <c r="G24">
        <v>2648.92</v>
      </c>
      <c r="H24">
        <v>276333.73</v>
      </c>
      <c r="I24">
        <v>6.66</v>
      </c>
      <c r="J24">
        <v>427731.76</v>
      </c>
      <c r="K24">
        <v>14</v>
      </c>
      <c r="L24">
        <v>10469.219999999999</v>
      </c>
      <c r="M24" t="s">
        <v>522</v>
      </c>
      <c r="N24">
        <v>18</v>
      </c>
    </row>
    <row r="25" spans="1:14" x14ac:dyDescent="0.3">
      <c r="A25">
        <v>100024</v>
      </c>
      <c r="B25">
        <v>9274936803</v>
      </c>
      <c r="C25" t="s">
        <v>37</v>
      </c>
      <c r="D25" t="s">
        <v>516</v>
      </c>
      <c r="E25" s="2">
        <v>45315</v>
      </c>
      <c r="F25" t="s">
        <v>518</v>
      </c>
      <c r="G25">
        <v>31840.99</v>
      </c>
      <c r="H25">
        <v>50045.42</v>
      </c>
      <c r="I25">
        <v>3.59</v>
      </c>
      <c r="J25">
        <v>301062.45</v>
      </c>
      <c r="K25">
        <v>5</v>
      </c>
      <c r="L25">
        <v>3477.4</v>
      </c>
      <c r="M25" t="s">
        <v>519</v>
      </c>
      <c r="N25">
        <v>18</v>
      </c>
    </row>
    <row r="26" spans="1:14" x14ac:dyDescent="0.3">
      <c r="A26">
        <v>100025</v>
      </c>
      <c r="B26">
        <v>8418576734</v>
      </c>
      <c r="C26" t="s">
        <v>38</v>
      </c>
      <c r="D26" t="s">
        <v>516</v>
      </c>
      <c r="E26" s="2">
        <v>45316</v>
      </c>
      <c r="F26" t="s">
        <v>517</v>
      </c>
      <c r="G26">
        <v>47594.47</v>
      </c>
      <c r="H26">
        <v>234567.31</v>
      </c>
      <c r="I26">
        <v>6.14</v>
      </c>
      <c r="J26">
        <v>245066.29</v>
      </c>
      <c r="K26">
        <v>6</v>
      </c>
      <c r="L26">
        <v>31696.39</v>
      </c>
      <c r="M26" t="s">
        <v>519</v>
      </c>
      <c r="N26">
        <v>18</v>
      </c>
    </row>
    <row r="27" spans="1:14" x14ac:dyDescent="0.3">
      <c r="A27">
        <v>100026</v>
      </c>
      <c r="B27">
        <v>5128202429</v>
      </c>
      <c r="C27" t="s">
        <v>39</v>
      </c>
      <c r="D27" t="s">
        <v>515</v>
      </c>
      <c r="E27" s="2">
        <v>45317</v>
      </c>
      <c r="F27" t="s">
        <v>517</v>
      </c>
      <c r="G27">
        <v>30279.79</v>
      </c>
      <c r="H27">
        <v>247501.18</v>
      </c>
      <c r="I27">
        <v>4</v>
      </c>
      <c r="J27">
        <v>508887.71</v>
      </c>
      <c r="K27">
        <v>10</v>
      </c>
      <c r="L27">
        <v>15079.01</v>
      </c>
      <c r="M27" t="s">
        <v>522</v>
      </c>
      <c r="N27">
        <v>18</v>
      </c>
    </row>
    <row r="28" spans="1:14" x14ac:dyDescent="0.3">
      <c r="A28">
        <v>100027</v>
      </c>
      <c r="B28">
        <v>7612927342</v>
      </c>
      <c r="C28" t="s">
        <v>40</v>
      </c>
      <c r="D28" t="s">
        <v>515</v>
      </c>
      <c r="E28" s="2">
        <v>45318</v>
      </c>
      <c r="F28" t="s">
        <v>518</v>
      </c>
      <c r="G28">
        <v>41049.85</v>
      </c>
      <c r="H28">
        <v>91229.52</v>
      </c>
      <c r="I28">
        <v>10.27</v>
      </c>
      <c r="J28">
        <v>305107.07</v>
      </c>
      <c r="K28">
        <v>8</v>
      </c>
      <c r="L28">
        <v>14707.55</v>
      </c>
      <c r="M28" t="s">
        <v>522</v>
      </c>
      <c r="N28">
        <v>18</v>
      </c>
    </row>
    <row r="29" spans="1:14" x14ac:dyDescent="0.3">
      <c r="A29">
        <v>100028</v>
      </c>
      <c r="B29">
        <v>3520077079</v>
      </c>
      <c r="C29" t="s">
        <v>41</v>
      </c>
      <c r="D29" t="s">
        <v>516</v>
      </c>
      <c r="E29" s="2">
        <v>45319</v>
      </c>
      <c r="F29" t="s">
        <v>518</v>
      </c>
      <c r="G29">
        <v>44268.22</v>
      </c>
      <c r="H29">
        <v>473392.09</v>
      </c>
      <c r="I29">
        <v>11.53</v>
      </c>
      <c r="J29">
        <v>323088.58</v>
      </c>
      <c r="K29">
        <v>14</v>
      </c>
      <c r="L29">
        <v>17267.919999999998</v>
      </c>
      <c r="M29" t="s">
        <v>520</v>
      </c>
      <c r="N29">
        <v>18</v>
      </c>
    </row>
    <row r="30" spans="1:14" x14ac:dyDescent="0.3">
      <c r="A30">
        <v>100029</v>
      </c>
      <c r="B30">
        <v>9440707288</v>
      </c>
      <c r="C30" t="s">
        <v>42</v>
      </c>
      <c r="D30" t="s">
        <v>515</v>
      </c>
      <c r="E30" s="2">
        <v>45320</v>
      </c>
      <c r="F30" t="s">
        <v>518</v>
      </c>
      <c r="G30">
        <v>11789.95</v>
      </c>
      <c r="H30">
        <v>426487.93</v>
      </c>
      <c r="I30">
        <v>3.65</v>
      </c>
      <c r="J30">
        <v>673918.26</v>
      </c>
      <c r="K30">
        <v>3</v>
      </c>
      <c r="L30">
        <v>33477.019999999997</v>
      </c>
      <c r="M30" t="s">
        <v>519</v>
      </c>
      <c r="N30">
        <v>18</v>
      </c>
    </row>
    <row r="31" spans="1:14" x14ac:dyDescent="0.3">
      <c r="A31">
        <v>100030</v>
      </c>
      <c r="B31">
        <v>2272485020</v>
      </c>
      <c r="C31" t="s">
        <v>43</v>
      </c>
      <c r="D31" t="s">
        <v>515</v>
      </c>
      <c r="E31" s="2">
        <v>45321</v>
      </c>
      <c r="F31" t="s">
        <v>517</v>
      </c>
      <c r="G31">
        <v>10996.22</v>
      </c>
      <c r="H31">
        <v>337820.95</v>
      </c>
      <c r="I31">
        <v>11.6</v>
      </c>
      <c r="J31">
        <v>970110.47</v>
      </c>
      <c r="K31">
        <v>12</v>
      </c>
      <c r="L31">
        <v>43661.06</v>
      </c>
      <c r="M31" t="s">
        <v>519</v>
      </c>
      <c r="N31">
        <v>18</v>
      </c>
    </row>
    <row r="32" spans="1:14" x14ac:dyDescent="0.3">
      <c r="A32">
        <v>100031</v>
      </c>
      <c r="B32">
        <v>1067157848</v>
      </c>
      <c r="C32" t="s">
        <v>44</v>
      </c>
      <c r="D32" t="s">
        <v>515</v>
      </c>
      <c r="E32" s="2">
        <v>45322</v>
      </c>
      <c r="F32" t="s">
        <v>518</v>
      </c>
      <c r="G32">
        <v>30743.56</v>
      </c>
      <c r="H32">
        <v>236524.82</v>
      </c>
      <c r="I32">
        <v>7.7</v>
      </c>
      <c r="J32">
        <v>623455.34</v>
      </c>
      <c r="K32">
        <v>16</v>
      </c>
      <c r="L32">
        <v>38195.26</v>
      </c>
      <c r="M32" t="s">
        <v>523</v>
      </c>
      <c r="N32">
        <v>18</v>
      </c>
    </row>
    <row r="33" spans="1:14" x14ac:dyDescent="0.3">
      <c r="A33">
        <v>100032</v>
      </c>
      <c r="B33">
        <v>4055190407</v>
      </c>
      <c r="C33" t="s">
        <v>45</v>
      </c>
      <c r="D33" t="s">
        <v>514</v>
      </c>
      <c r="E33" s="2">
        <v>45323</v>
      </c>
      <c r="F33" t="s">
        <v>518</v>
      </c>
      <c r="G33">
        <v>20845.91</v>
      </c>
      <c r="H33">
        <v>211765.12</v>
      </c>
      <c r="I33">
        <v>5.7</v>
      </c>
      <c r="J33">
        <v>123130.49</v>
      </c>
      <c r="K33">
        <v>17</v>
      </c>
      <c r="L33">
        <v>36648.93</v>
      </c>
      <c r="M33" t="s">
        <v>521</v>
      </c>
      <c r="N33">
        <v>18</v>
      </c>
    </row>
    <row r="34" spans="1:14" x14ac:dyDescent="0.3">
      <c r="A34">
        <v>100033</v>
      </c>
      <c r="B34">
        <v>3602578298</v>
      </c>
      <c r="C34" t="s">
        <v>46</v>
      </c>
      <c r="D34" t="s">
        <v>514</v>
      </c>
      <c r="E34" s="2">
        <v>45324</v>
      </c>
      <c r="F34" t="s">
        <v>517</v>
      </c>
      <c r="G34">
        <v>42073.13</v>
      </c>
      <c r="H34">
        <v>328977</v>
      </c>
      <c r="I34">
        <v>3.69</v>
      </c>
      <c r="J34">
        <v>121804.43</v>
      </c>
      <c r="K34">
        <v>1</v>
      </c>
      <c r="L34">
        <v>24735.17</v>
      </c>
      <c r="M34" t="s">
        <v>521</v>
      </c>
      <c r="N34">
        <v>18</v>
      </c>
    </row>
    <row r="35" spans="1:14" x14ac:dyDescent="0.3">
      <c r="A35">
        <v>100034</v>
      </c>
      <c r="B35">
        <v>4978431977</v>
      </c>
      <c r="C35" t="s">
        <v>47</v>
      </c>
      <c r="D35" t="s">
        <v>515</v>
      </c>
      <c r="E35" s="2">
        <v>45325</v>
      </c>
      <c r="F35" t="s">
        <v>518</v>
      </c>
      <c r="G35">
        <v>45051.14</v>
      </c>
      <c r="H35">
        <v>277261.62</v>
      </c>
      <c r="I35">
        <v>7.51</v>
      </c>
      <c r="J35">
        <v>953852.06</v>
      </c>
      <c r="K35">
        <v>10</v>
      </c>
      <c r="L35">
        <v>34996.47</v>
      </c>
      <c r="M35" t="s">
        <v>523</v>
      </c>
      <c r="N35">
        <v>18</v>
      </c>
    </row>
    <row r="36" spans="1:14" x14ac:dyDescent="0.3">
      <c r="A36">
        <v>100035</v>
      </c>
      <c r="B36">
        <v>4929721883</v>
      </c>
      <c r="C36" t="s">
        <v>48</v>
      </c>
      <c r="D36" t="s">
        <v>515</v>
      </c>
      <c r="E36" s="2">
        <v>45326</v>
      </c>
      <c r="F36" t="s">
        <v>518</v>
      </c>
      <c r="G36">
        <v>17994.36</v>
      </c>
      <c r="H36">
        <v>40513.82</v>
      </c>
      <c r="I36">
        <v>10.15</v>
      </c>
      <c r="J36">
        <v>332426.25</v>
      </c>
      <c r="K36">
        <v>10</v>
      </c>
      <c r="L36">
        <v>28085.360000000001</v>
      </c>
      <c r="M36" t="s">
        <v>521</v>
      </c>
      <c r="N36">
        <v>18</v>
      </c>
    </row>
    <row r="37" spans="1:14" x14ac:dyDescent="0.3">
      <c r="A37">
        <v>100036</v>
      </c>
      <c r="B37">
        <v>5704750624</v>
      </c>
      <c r="C37" t="s">
        <v>49</v>
      </c>
      <c r="D37" t="s">
        <v>514</v>
      </c>
      <c r="E37" s="2">
        <v>45327</v>
      </c>
      <c r="F37" t="s">
        <v>518</v>
      </c>
      <c r="G37">
        <v>12225.09</v>
      </c>
      <c r="H37">
        <v>261126.3</v>
      </c>
      <c r="I37">
        <v>9.36</v>
      </c>
      <c r="J37">
        <v>137463.64000000001</v>
      </c>
      <c r="K37">
        <v>2</v>
      </c>
      <c r="L37">
        <v>11596.28</v>
      </c>
      <c r="M37" t="s">
        <v>522</v>
      </c>
      <c r="N37">
        <v>18</v>
      </c>
    </row>
    <row r="38" spans="1:14" x14ac:dyDescent="0.3">
      <c r="A38">
        <v>100037</v>
      </c>
      <c r="B38">
        <v>2644658402</v>
      </c>
      <c r="C38" t="s">
        <v>50</v>
      </c>
      <c r="D38" t="s">
        <v>514</v>
      </c>
      <c r="E38" s="2">
        <v>45328</v>
      </c>
      <c r="F38" t="s">
        <v>518</v>
      </c>
      <c r="G38">
        <v>39136.01</v>
      </c>
      <c r="H38">
        <v>405137.77</v>
      </c>
      <c r="I38">
        <v>3.45</v>
      </c>
      <c r="J38">
        <v>619092.36</v>
      </c>
      <c r="K38">
        <v>9</v>
      </c>
      <c r="L38">
        <v>11220.83</v>
      </c>
      <c r="M38" t="s">
        <v>521</v>
      </c>
      <c r="N38">
        <v>18</v>
      </c>
    </row>
    <row r="39" spans="1:14" x14ac:dyDescent="0.3">
      <c r="A39">
        <v>100038</v>
      </c>
      <c r="B39">
        <v>5173471662</v>
      </c>
      <c r="C39" t="s">
        <v>51</v>
      </c>
      <c r="D39" t="s">
        <v>516</v>
      </c>
      <c r="E39" s="2">
        <v>45329</v>
      </c>
      <c r="F39" t="s">
        <v>517</v>
      </c>
      <c r="G39">
        <v>14102.9</v>
      </c>
      <c r="H39">
        <v>235027.54</v>
      </c>
      <c r="I39">
        <v>3.66</v>
      </c>
      <c r="J39">
        <v>642466.34</v>
      </c>
      <c r="K39">
        <v>13</v>
      </c>
      <c r="L39">
        <v>15523.21</v>
      </c>
      <c r="M39" t="s">
        <v>521</v>
      </c>
      <c r="N39">
        <v>18</v>
      </c>
    </row>
    <row r="40" spans="1:14" x14ac:dyDescent="0.3">
      <c r="A40">
        <v>100039</v>
      </c>
      <c r="B40">
        <v>8941024386</v>
      </c>
      <c r="C40" t="s">
        <v>52</v>
      </c>
      <c r="D40" t="s">
        <v>516</v>
      </c>
      <c r="E40" s="2">
        <v>45330</v>
      </c>
      <c r="F40" t="s">
        <v>518</v>
      </c>
      <c r="G40">
        <v>41219.410000000003</v>
      </c>
      <c r="H40">
        <v>35458.720000000001</v>
      </c>
      <c r="I40">
        <v>6.63</v>
      </c>
      <c r="J40">
        <v>666079.57999999996</v>
      </c>
      <c r="K40">
        <v>16</v>
      </c>
      <c r="L40">
        <v>45629.33</v>
      </c>
      <c r="M40" t="s">
        <v>523</v>
      </c>
      <c r="N40">
        <v>18</v>
      </c>
    </row>
    <row r="41" spans="1:14" x14ac:dyDescent="0.3">
      <c r="A41">
        <v>100040</v>
      </c>
      <c r="B41">
        <v>4099804676</v>
      </c>
      <c r="C41" t="s">
        <v>53</v>
      </c>
      <c r="D41" t="s">
        <v>514</v>
      </c>
      <c r="E41" s="2">
        <v>45331</v>
      </c>
      <c r="F41" t="s">
        <v>518</v>
      </c>
      <c r="G41">
        <v>21475.040000000001</v>
      </c>
      <c r="H41">
        <v>395276.32</v>
      </c>
      <c r="I41">
        <v>5.66</v>
      </c>
      <c r="J41">
        <v>304031.93</v>
      </c>
      <c r="K41">
        <v>18</v>
      </c>
      <c r="L41">
        <v>27823.33</v>
      </c>
      <c r="M41" t="s">
        <v>520</v>
      </c>
      <c r="N41">
        <v>18</v>
      </c>
    </row>
    <row r="42" spans="1:14" x14ac:dyDescent="0.3">
      <c r="A42">
        <v>100041</v>
      </c>
      <c r="B42">
        <v>6308514806</v>
      </c>
      <c r="C42" t="s">
        <v>54</v>
      </c>
      <c r="D42" t="s">
        <v>515</v>
      </c>
      <c r="E42" s="2">
        <v>45332</v>
      </c>
      <c r="F42" t="s">
        <v>517</v>
      </c>
      <c r="G42">
        <v>33543.72</v>
      </c>
      <c r="H42">
        <v>108668.25</v>
      </c>
      <c r="I42">
        <v>5.09</v>
      </c>
      <c r="J42">
        <v>64355.15</v>
      </c>
      <c r="K42">
        <v>19</v>
      </c>
      <c r="L42">
        <v>36961.360000000001</v>
      </c>
      <c r="M42" t="s">
        <v>521</v>
      </c>
      <c r="N42">
        <v>18</v>
      </c>
    </row>
    <row r="43" spans="1:14" x14ac:dyDescent="0.3">
      <c r="A43">
        <v>100042</v>
      </c>
      <c r="B43">
        <v>9763595546</v>
      </c>
      <c r="C43" t="s">
        <v>55</v>
      </c>
      <c r="D43" t="s">
        <v>515</v>
      </c>
      <c r="E43" s="2">
        <v>45333</v>
      </c>
      <c r="F43" t="s">
        <v>518</v>
      </c>
      <c r="G43">
        <v>5229</v>
      </c>
      <c r="H43">
        <v>136724.21</v>
      </c>
      <c r="I43">
        <v>5.53</v>
      </c>
      <c r="J43">
        <v>966764.6</v>
      </c>
      <c r="K43">
        <v>12</v>
      </c>
      <c r="L43">
        <v>17981.38</v>
      </c>
      <c r="M43" t="s">
        <v>521</v>
      </c>
      <c r="N43">
        <v>18</v>
      </c>
    </row>
    <row r="44" spans="1:14" x14ac:dyDescent="0.3">
      <c r="A44">
        <v>100043</v>
      </c>
      <c r="B44">
        <v>4052273870</v>
      </c>
      <c r="C44" t="s">
        <v>56</v>
      </c>
      <c r="D44" t="s">
        <v>515</v>
      </c>
      <c r="E44" s="2">
        <v>45334</v>
      </c>
      <c r="F44" t="s">
        <v>517</v>
      </c>
      <c r="G44">
        <v>31381.040000000001</v>
      </c>
      <c r="H44">
        <v>90706.11</v>
      </c>
      <c r="I44">
        <v>10.23</v>
      </c>
      <c r="J44">
        <v>288348.39</v>
      </c>
      <c r="K44">
        <v>8</v>
      </c>
      <c r="L44">
        <v>20978.07</v>
      </c>
      <c r="M44" t="s">
        <v>520</v>
      </c>
      <c r="N44">
        <v>18</v>
      </c>
    </row>
    <row r="45" spans="1:14" x14ac:dyDescent="0.3">
      <c r="A45">
        <v>100044</v>
      </c>
      <c r="B45">
        <v>7181903227</v>
      </c>
      <c r="C45" t="s">
        <v>57</v>
      </c>
      <c r="D45" t="s">
        <v>515</v>
      </c>
      <c r="E45" s="2">
        <v>45335</v>
      </c>
      <c r="F45" t="s">
        <v>518</v>
      </c>
      <c r="G45">
        <v>22862.5</v>
      </c>
      <c r="H45">
        <v>171805.38</v>
      </c>
      <c r="I45">
        <v>11.36</v>
      </c>
      <c r="J45">
        <v>692224.97</v>
      </c>
      <c r="K45">
        <v>17</v>
      </c>
      <c r="L45">
        <v>7152.71</v>
      </c>
      <c r="M45" t="s">
        <v>523</v>
      </c>
      <c r="N45">
        <v>18</v>
      </c>
    </row>
    <row r="46" spans="1:14" x14ac:dyDescent="0.3">
      <c r="A46">
        <v>100045</v>
      </c>
      <c r="B46">
        <v>1866377394</v>
      </c>
      <c r="C46" t="s">
        <v>58</v>
      </c>
      <c r="D46" t="s">
        <v>516</v>
      </c>
      <c r="E46" s="2">
        <v>45336</v>
      </c>
      <c r="F46" t="s">
        <v>517</v>
      </c>
      <c r="G46">
        <v>29537.119999999999</v>
      </c>
      <c r="H46">
        <v>380808.24</v>
      </c>
      <c r="I46">
        <v>6.65</v>
      </c>
      <c r="J46">
        <v>721298.38</v>
      </c>
      <c r="K46">
        <v>15</v>
      </c>
      <c r="L46">
        <v>9393.4500000000007</v>
      </c>
      <c r="M46" t="s">
        <v>520</v>
      </c>
      <c r="N46">
        <v>18</v>
      </c>
    </row>
    <row r="47" spans="1:14" x14ac:dyDescent="0.3">
      <c r="A47">
        <v>100046</v>
      </c>
      <c r="B47">
        <v>5893391332</v>
      </c>
      <c r="C47" t="s">
        <v>59</v>
      </c>
      <c r="D47" t="s">
        <v>514</v>
      </c>
      <c r="E47" s="2">
        <v>45337</v>
      </c>
      <c r="F47" t="s">
        <v>517</v>
      </c>
      <c r="G47">
        <v>8816.7000000000007</v>
      </c>
      <c r="H47">
        <v>264499.07</v>
      </c>
      <c r="I47">
        <v>11.15</v>
      </c>
      <c r="J47">
        <v>629507.05000000005</v>
      </c>
      <c r="K47">
        <v>10</v>
      </c>
      <c r="L47">
        <v>41540.47</v>
      </c>
      <c r="M47" t="s">
        <v>523</v>
      </c>
      <c r="N47">
        <v>18</v>
      </c>
    </row>
    <row r="48" spans="1:14" x14ac:dyDescent="0.3">
      <c r="A48">
        <v>100047</v>
      </c>
      <c r="B48">
        <v>3318599822</v>
      </c>
      <c r="C48" t="s">
        <v>60</v>
      </c>
      <c r="D48" t="s">
        <v>515</v>
      </c>
      <c r="E48" s="2">
        <v>45338</v>
      </c>
      <c r="F48" t="s">
        <v>517</v>
      </c>
      <c r="G48">
        <v>36975.25</v>
      </c>
      <c r="H48">
        <v>110391.82</v>
      </c>
      <c r="I48">
        <v>5.89</v>
      </c>
      <c r="J48">
        <v>347262.02</v>
      </c>
      <c r="K48">
        <v>15</v>
      </c>
      <c r="L48">
        <v>29657.09</v>
      </c>
      <c r="M48" t="s">
        <v>522</v>
      </c>
      <c r="N48">
        <v>18</v>
      </c>
    </row>
    <row r="49" spans="1:14" x14ac:dyDescent="0.3">
      <c r="A49">
        <v>100048</v>
      </c>
      <c r="B49">
        <v>9076547867</v>
      </c>
      <c r="C49" t="s">
        <v>61</v>
      </c>
      <c r="D49" t="s">
        <v>516</v>
      </c>
      <c r="E49" s="2">
        <v>45339</v>
      </c>
      <c r="F49" t="s">
        <v>517</v>
      </c>
      <c r="G49">
        <v>43208.46</v>
      </c>
      <c r="H49">
        <v>440136.74</v>
      </c>
      <c r="I49">
        <v>7.29</v>
      </c>
      <c r="J49">
        <v>307541.44</v>
      </c>
      <c r="K49">
        <v>15</v>
      </c>
      <c r="L49">
        <v>17539.09</v>
      </c>
      <c r="M49" t="s">
        <v>523</v>
      </c>
      <c r="N49">
        <v>18</v>
      </c>
    </row>
    <row r="50" spans="1:14" x14ac:dyDescent="0.3">
      <c r="A50">
        <v>100049</v>
      </c>
      <c r="B50">
        <v>7976547497</v>
      </c>
      <c r="C50" t="s">
        <v>62</v>
      </c>
      <c r="D50" t="s">
        <v>515</v>
      </c>
      <c r="E50" s="2">
        <v>45340</v>
      </c>
      <c r="F50" t="s">
        <v>518</v>
      </c>
      <c r="G50">
        <v>11228.62</v>
      </c>
      <c r="H50">
        <v>440995.11</v>
      </c>
      <c r="I50">
        <v>5.03</v>
      </c>
      <c r="J50">
        <v>617784.87</v>
      </c>
      <c r="K50">
        <v>7</v>
      </c>
      <c r="L50">
        <v>40339.71</v>
      </c>
      <c r="M50" t="s">
        <v>522</v>
      </c>
      <c r="N50">
        <v>18</v>
      </c>
    </row>
    <row r="51" spans="1:14" x14ac:dyDescent="0.3">
      <c r="A51">
        <v>100050</v>
      </c>
      <c r="B51">
        <v>2269737021</v>
      </c>
      <c r="C51" t="s">
        <v>63</v>
      </c>
      <c r="D51" t="s">
        <v>514</v>
      </c>
      <c r="E51" s="2">
        <v>45341</v>
      </c>
      <c r="F51" t="s">
        <v>517</v>
      </c>
      <c r="G51">
        <v>5237.87</v>
      </c>
      <c r="H51">
        <v>436583.43</v>
      </c>
      <c r="I51">
        <v>8.76</v>
      </c>
      <c r="J51">
        <v>872790.85</v>
      </c>
      <c r="K51">
        <v>13</v>
      </c>
      <c r="L51">
        <v>13079.48</v>
      </c>
      <c r="M51" t="s">
        <v>522</v>
      </c>
      <c r="N51">
        <v>18</v>
      </c>
    </row>
    <row r="52" spans="1:14" x14ac:dyDescent="0.3">
      <c r="A52">
        <v>100051</v>
      </c>
      <c r="B52">
        <v>1453094388</v>
      </c>
      <c r="C52" t="s">
        <v>64</v>
      </c>
      <c r="D52" t="s">
        <v>516</v>
      </c>
      <c r="E52" s="2">
        <v>45342</v>
      </c>
      <c r="F52" t="s">
        <v>518</v>
      </c>
      <c r="G52">
        <v>1670.11</v>
      </c>
      <c r="H52">
        <v>127010.14</v>
      </c>
      <c r="I52">
        <v>11.81</v>
      </c>
      <c r="J52">
        <v>949397.04</v>
      </c>
      <c r="K52">
        <v>17</v>
      </c>
      <c r="L52">
        <v>48825.599999999999</v>
      </c>
      <c r="M52" t="s">
        <v>523</v>
      </c>
      <c r="N52">
        <v>18</v>
      </c>
    </row>
    <row r="53" spans="1:14" x14ac:dyDescent="0.3">
      <c r="A53">
        <v>100052</v>
      </c>
      <c r="B53">
        <v>7255768347</v>
      </c>
      <c r="C53" t="s">
        <v>65</v>
      </c>
      <c r="D53" t="s">
        <v>514</v>
      </c>
      <c r="E53" s="2">
        <v>45343</v>
      </c>
      <c r="F53" t="s">
        <v>517</v>
      </c>
      <c r="G53">
        <v>32277.59</v>
      </c>
      <c r="H53">
        <v>231107.28</v>
      </c>
      <c r="I53">
        <v>8.43</v>
      </c>
      <c r="J53">
        <v>150610.51</v>
      </c>
      <c r="K53">
        <v>9</v>
      </c>
      <c r="L53">
        <v>17896.060000000001</v>
      </c>
      <c r="M53" t="s">
        <v>519</v>
      </c>
      <c r="N53">
        <v>18</v>
      </c>
    </row>
    <row r="54" spans="1:14" x14ac:dyDescent="0.3">
      <c r="A54">
        <v>100053</v>
      </c>
      <c r="B54">
        <v>9088627133</v>
      </c>
      <c r="C54" t="s">
        <v>66</v>
      </c>
      <c r="D54" t="s">
        <v>514</v>
      </c>
      <c r="E54" s="2">
        <v>45344</v>
      </c>
      <c r="F54" t="s">
        <v>517</v>
      </c>
      <c r="G54">
        <v>30551.15</v>
      </c>
      <c r="H54">
        <v>492644.93</v>
      </c>
      <c r="I54">
        <v>6.22</v>
      </c>
      <c r="J54">
        <v>197087.18</v>
      </c>
      <c r="K54">
        <v>8</v>
      </c>
      <c r="L54">
        <v>17528.240000000002</v>
      </c>
      <c r="M54" t="s">
        <v>523</v>
      </c>
      <c r="N54">
        <v>18</v>
      </c>
    </row>
    <row r="55" spans="1:14" x14ac:dyDescent="0.3">
      <c r="A55">
        <v>100054</v>
      </c>
      <c r="B55">
        <v>5819331062</v>
      </c>
      <c r="C55" t="s">
        <v>67</v>
      </c>
      <c r="D55" t="s">
        <v>516</v>
      </c>
      <c r="E55" s="2">
        <v>45345</v>
      </c>
      <c r="F55" t="s">
        <v>517</v>
      </c>
      <c r="G55">
        <v>27561.52</v>
      </c>
      <c r="H55">
        <v>388286.11</v>
      </c>
      <c r="I55">
        <v>8.83</v>
      </c>
      <c r="J55">
        <v>947499.45</v>
      </c>
      <c r="K55">
        <v>18</v>
      </c>
      <c r="L55">
        <v>16283.68</v>
      </c>
      <c r="M55" t="s">
        <v>521</v>
      </c>
      <c r="N55">
        <v>18</v>
      </c>
    </row>
    <row r="56" spans="1:14" x14ac:dyDescent="0.3">
      <c r="A56">
        <v>100055</v>
      </c>
      <c r="B56">
        <v>2168799104</v>
      </c>
      <c r="C56" t="s">
        <v>68</v>
      </c>
      <c r="D56" t="s">
        <v>516</v>
      </c>
      <c r="E56" s="2">
        <v>45346</v>
      </c>
      <c r="F56" t="s">
        <v>518</v>
      </c>
      <c r="G56">
        <v>11981.38</v>
      </c>
      <c r="H56">
        <v>23312.04</v>
      </c>
      <c r="I56">
        <v>4.1100000000000003</v>
      </c>
      <c r="J56">
        <v>749708.47</v>
      </c>
      <c r="K56">
        <v>13</v>
      </c>
      <c r="L56">
        <v>6983.46</v>
      </c>
      <c r="M56" t="s">
        <v>521</v>
      </c>
      <c r="N56">
        <v>18</v>
      </c>
    </row>
    <row r="57" spans="1:14" x14ac:dyDescent="0.3">
      <c r="A57">
        <v>100056</v>
      </c>
      <c r="B57">
        <v>3781807898</v>
      </c>
      <c r="C57" t="s">
        <v>69</v>
      </c>
      <c r="D57" t="s">
        <v>516</v>
      </c>
      <c r="E57" s="2">
        <v>45347</v>
      </c>
      <c r="F57" t="s">
        <v>517</v>
      </c>
      <c r="G57">
        <v>19849.849999999999</v>
      </c>
      <c r="H57">
        <v>41950.25</v>
      </c>
      <c r="I57">
        <v>11</v>
      </c>
      <c r="J57">
        <v>888844.13</v>
      </c>
      <c r="K57">
        <v>16</v>
      </c>
      <c r="L57">
        <v>6445.72</v>
      </c>
      <c r="M57" t="s">
        <v>519</v>
      </c>
      <c r="N57">
        <v>18</v>
      </c>
    </row>
    <row r="58" spans="1:14" x14ac:dyDescent="0.3">
      <c r="A58">
        <v>100057</v>
      </c>
      <c r="B58">
        <v>5297202296</v>
      </c>
      <c r="C58" t="s">
        <v>70</v>
      </c>
      <c r="D58" t="s">
        <v>516</v>
      </c>
      <c r="E58" s="2">
        <v>45348</v>
      </c>
      <c r="F58" t="s">
        <v>518</v>
      </c>
      <c r="G58">
        <v>29926.58</v>
      </c>
      <c r="H58">
        <v>237326.37</v>
      </c>
      <c r="I58">
        <v>7.53</v>
      </c>
      <c r="J58">
        <v>242501</v>
      </c>
      <c r="K58">
        <v>9</v>
      </c>
      <c r="L58">
        <v>32757.15</v>
      </c>
      <c r="M58" t="s">
        <v>522</v>
      </c>
      <c r="N58">
        <v>18</v>
      </c>
    </row>
    <row r="59" spans="1:14" x14ac:dyDescent="0.3">
      <c r="A59">
        <v>100058</v>
      </c>
      <c r="B59">
        <v>2309025538</v>
      </c>
      <c r="C59" t="s">
        <v>71</v>
      </c>
      <c r="D59" t="s">
        <v>516</v>
      </c>
      <c r="E59" s="2">
        <v>45349</v>
      </c>
      <c r="F59" t="s">
        <v>518</v>
      </c>
      <c r="G59">
        <v>25089.96</v>
      </c>
      <c r="H59">
        <v>455517.9</v>
      </c>
      <c r="I59">
        <v>7.04</v>
      </c>
      <c r="J59">
        <v>608206.57999999996</v>
      </c>
      <c r="K59">
        <v>12</v>
      </c>
      <c r="L59">
        <v>43880.78</v>
      </c>
      <c r="M59" t="s">
        <v>519</v>
      </c>
      <c r="N59">
        <v>18</v>
      </c>
    </row>
    <row r="60" spans="1:14" x14ac:dyDescent="0.3">
      <c r="A60">
        <v>100059</v>
      </c>
      <c r="B60">
        <v>3082328893</v>
      </c>
      <c r="C60" t="s">
        <v>72</v>
      </c>
      <c r="D60" t="s">
        <v>516</v>
      </c>
      <c r="E60" s="2">
        <v>45350</v>
      </c>
      <c r="F60" t="s">
        <v>518</v>
      </c>
      <c r="G60">
        <v>49395.38</v>
      </c>
      <c r="H60">
        <v>273963.88</v>
      </c>
      <c r="I60">
        <v>8.27</v>
      </c>
      <c r="J60">
        <v>716082.61</v>
      </c>
      <c r="K60">
        <v>12</v>
      </c>
      <c r="L60">
        <v>39735.51</v>
      </c>
      <c r="M60" t="s">
        <v>521</v>
      </c>
      <c r="N60">
        <v>18</v>
      </c>
    </row>
    <row r="61" spans="1:14" x14ac:dyDescent="0.3">
      <c r="A61">
        <v>100060</v>
      </c>
      <c r="B61">
        <v>3973990112</v>
      </c>
      <c r="C61" t="s">
        <v>73</v>
      </c>
      <c r="D61" t="s">
        <v>516</v>
      </c>
      <c r="E61" s="2">
        <v>45351</v>
      </c>
      <c r="F61" t="s">
        <v>518</v>
      </c>
      <c r="G61">
        <v>7253.77</v>
      </c>
      <c r="H61">
        <v>253928.13</v>
      </c>
      <c r="I61">
        <v>8.6199999999999992</v>
      </c>
      <c r="J61">
        <v>696106.29</v>
      </c>
      <c r="K61">
        <v>6</v>
      </c>
      <c r="L61">
        <v>7914.27</v>
      </c>
      <c r="M61" t="s">
        <v>519</v>
      </c>
      <c r="N61">
        <v>18</v>
      </c>
    </row>
    <row r="62" spans="1:14" x14ac:dyDescent="0.3">
      <c r="A62">
        <v>100061</v>
      </c>
      <c r="B62">
        <v>6234552479</v>
      </c>
      <c r="C62" t="s">
        <v>74</v>
      </c>
      <c r="D62" t="s">
        <v>515</v>
      </c>
      <c r="E62" s="2">
        <v>45352</v>
      </c>
      <c r="F62" t="s">
        <v>518</v>
      </c>
      <c r="G62">
        <v>34909.660000000003</v>
      </c>
      <c r="H62">
        <v>61682.11</v>
      </c>
      <c r="I62">
        <v>3.65</v>
      </c>
      <c r="J62">
        <v>437744.11</v>
      </c>
      <c r="K62">
        <v>19</v>
      </c>
      <c r="L62">
        <v>27733.52</v>
      </c>
      <c r="M62" t="s">
        <v>523</v>
      </c>
      <c r="N62">
        <v>18</v>
      </c>
    </row>
    <row r="63" spans="1:14" x14ac:dyDescent="0.3">
      <c r="A63">
        <v>100062</v>
      </c>
      <c r="B63">
        <v>2734463155</v>
      </c>
      <c r="C63" t="s">
        <v>75</v>
      </c>
      <c r="D63" t="s">
        <v>514</v>
      </c>
      <c r="E63" s="2">
        <v>45353</v>
      </c>
      <c r="F63" t="s">
        <v>518</v>
      </c>
      <c r="G63">
        <v>20513.78</v>
      </c>
      <c r="H63">
        <v>331822.25</v>
      </c>
      <c r="I63">
        <v>9.14</v>
      </c>
      <c r="J63">
        <v>64625.15</v>
      </c>
      <c r="K63">
        <v>7</v>
      </c>
      <c r="L63">
        <v>6173.99</v>
      </c>
      <c r="M63" t="s">
        <v>519</v>
      </c>
      <c r="N63">
        <v>18</v>
      </c>
    </row>
    <row r="64" spans="1:14" x14ac:dyDescent="0.3">
      <c r="A64">
        <v>100063</v>
      </c>
      <c r="B64">
        <v>1278710077</v>
      </c>
      <c r="C64" t="s">
        <v>76</v>
      </c>
      <c r="D64" t="s">
        <v>516</v>
      </c>
      <c r="E64" s="2">
        <v>45354</v>
      </c>
      <c r="F64" t="s">
        <v>518</v>
      </c>
      <c r="G64">
        <v>21695.88</v>
      </c>
      <c r="H64">
        <v>412830.55</v>
      </c>
      <c r="I64">
        <v>5.18</v>
      </c>
      <c r="J64">
        <v>603779.75</v>
      </c>
      <c r="K64">
        <v>3</v>
      </c>
      <c r="L64">
        <v>3219.44</v>
      </c>
      <c r="M64" t="s">
        <v>522</v>
      </c>
      <c r="N64">
        <v>18</v>
      </c>
    </row>
    <row r="65" spans="1:14" x14ac:dyDescent="0.3">
      <c r="A65">
        <v>100064</v>
      </c>
      <c r="B65">
        <v>2090558393</v>
      </c>
      <c r="C65" t="s">
        <v>77</v>
      </c>
      <c r="D65" t="s">
        <v>515</v>
      </c>
      <c r="E65" s="2">
        <v>45355</v>
      </c>
      <c r="F65" t="s">
        <v>518</v>
      </c>
      <c r="G65">
        <v>36021.089999999997</v>
      </c>
      <c r="H65">
        <v>196405.8</v>
      </c>
      <c r="I65">
        <v>9.43</v>
      </c>
      <c r="J65">
        <v>290446.46000000002</v>
      </c>
      <c r="K65">
        <v>16</v>
      </c>
      <c r="L65">
        <v>33162.910000000003</v>
      </c>
      <c r="M65" t="s">
        <v>523</v>
      </c>
      <c r="N65">
        <v>18</v>
      </c>
    </row>
    <row r="66" spans="1:14" x14ac:dyDescent="0.3">
      <c r="A66">
        <v>100065</v>
      </c>
      <c r="B66">
        <v>8285571366</v>
      </c>
      <c r="C66" t="s">
        <v>78</v>
      </c>
      <c r="D66" t="s">
        <v>515</v>
      </c>
      <c r="E66" s="2">
        <v>45356</v>
      </c>
      <c r="F66" t="s">
        <v>518</v>
      </c>
      <c r="G66">
        <v>34775.589999999997</v>
      </c>
      <c r="H66">
        <v>390049.81</v>
      </c>
      <c r="I66">
        <v>10.4</v>
      </c>
      <c r="J66">
        <v>477741.53</v>
      </c>
      <c r="K66">
        <v>18</v>
      </c>
      <c r="L66">
        <v>27222.46</v>
      </c>
      <c r="M66" t="s">
        <v>520</v>
      </c>
      <c r="N66">
        <v>18</v>
      </c>
    </row>
    <row r="67" spans="1:14" x14ac:dyDescent="0.3">
      <c r="A67">
        <v>100066</v>
      </c>
      <c r="B67">
        <v>8354146178</v>
      </c>
      <c r="C67" t="s">
        <v>79</v>
      </c>
      <c r="D67" t="s">
        <v>515</v>
      </c>
      <c r="E67" s="2">
        <v>45357</v>
      </c>
      <c r="F67" t="s">
        <v>517</v>
      </c>
      <c r="G67">
        <v>49567.17</v>
      </c>
      <c r="H67">
        <v>482593.56</v>
      </c>
      <c r="I67">
        <v>10.24</v>
      </c>
      <c r="J67">
        <v>959701.96</v>
      </c>
      <c r="K67">
        <v>16</v>
      </c>
      <c r="L67">
        <v>5019.16</v>
      </c>
      <c r="M67" t="s">
        <v>521</v>
      </c>
      <c r="N67">
        <v>18</v>
      </c>
    </row>
    <row r="68" spans="1:14" x14ac:dyDescent="0.3">
      <c r="A68">
        <v>100067</v>
      </c>
      <c r="B68">
        <v>1636028516</v>
      </c>
      <c r="C68" t="s">
        <v>80</v>
      </c>
      <c r="D68" t="s">
        <v>514</v>
      </c>
      <c r="E68" s="2">
        <v>45358</v>
      </c>
      <c r="F68" t="s">
        <v>517</v>
      </c>
      <c r="G68">
        <v>6855.52</v>
      </c>
      <c r="H68">
        <v>109845.56</v>
      </c>
      <c r="I68">
        <v>7.97</v>
      </c>
      <c r="J68">
        <v>429083.55</v>
      </c>
      <c r="K68">
        <v>7</v>
      </c>
      <c r="L68">
        <v>2712.02</v>
      </c>
      <c r="M68" t="s">
        <v>521</v>
      </c>
      <c r="N68">
        <v>18</v>
      </c>
    </row>
    <row r="69" spans="1:14" x14ac:dyDescent="0.3">
      <c r="A69">
        <v>100068</v>
      </c>
      <c r="B69">
        <v>5285262775</v>
      </c>
      <c r="C69" t="s">
        <v>81</v>
      </c>
      <c r="D69" t="s">
        <v>516</v>
      </c>
      <c r="E69" s="2">
        <v>45359</v>
      </c>
      <c r="F69" t="s">
        <v>517</v>
      </c>
      <c r="G69">
        <v>5653.43</v>
      </c>
      <c r="H69">
        <v>266431.52</v>
      </c>
      <c r="I69">
        <v>7.68</v>
      </c>
      <c r="J69">
        <v>847811.53</v>
      </c>
      <c r="K69">
        <v>4</v>
      </c>
      <c r="L69">
        <v>49498.06</v>
      </c>
      <c r="M69" t="s">
        <v>519</v>
      </c>
      <c r="N69">
        <v>18</v>
      </c>
    </row>
    <row r="70" spans="1:14" x14ac:dyDescent="0.3">
      <c r="A70">
        <v>100069</v>
      </c>
      <c r="B70">
        <v>2145815738</v>
      </c>
      <c r="C70" t="s">
        <v>82</v>
      </c>
      <c r="D70" t="s">
        <v>515</v>
      </c>
      <c r="E70" s="2">
        <v>45360</v>
      </c>
      <c r="F70" t="s">
        <v>517</v>
      </c>
      <c r="G70">
        <v>36354.769999999997</v>
      </c>
      <c r="H70">
        <v>150697.60000000001</v>
      </c>
      <c r="I70">
        <v>4.29</v>
      </c>
      <c r="J70">
        <v>229113.58</v>
      </c>
      <c r="K70">
        <v>8</v>
      </c>
      <c r="L70">
        <v>2471.0500000000002</v>
      </c>
      <c r="M70" t="s">
        <v>523</v>
      </c>
      <c r="N70">
        <v>18</v>
      </c>
    </row>
    <row r="71" spans="1:14" x14ac:dyDescent="0.3">
      <c r="A71">
        <v>100070</v>
      </c>
      <c r="B71">
        <v>5194529281</v>
      </c>
      <c r="C71" t="s">
        <v>83</v>
      </c>
      <c r="D71" t="s">
        <v>514</v>
      </c>
      <c r="E71" s="2">
        <v>45361</v>
      </c>
      <c r="F71" t="s">
        <v>517</v>
      </c>
      <c r="G71">
        <v>29130.15</v>
      </c>
      <c r="H71">
        <v>398498.67</v>
      </c>
      <c r="I71">
        <v>9.98</v>
      </c>
      <c r="J71">
        <v>688837.47</v>
      </c>
      <c r="K71">
        <v>13</v>
      </c>
      <c r="L71">
        <v>22781.88</v>
      </c>
      <c r="M71" t="s">
        <v>520</v>
      </c>
      <c r="N71">
        <v>18</v>
      </c>
    </row>
    <row r="72" spans="1:14" x14ac:dyDescent="0.3">
      <c r="A72">
        <v>100071</v>
      </c>
      <c r="B72">
        <v>7060357851</v>
      </c>
      <c r="C72" t="s">
        <v>84</v>
      </c>
      <c r="D72" t="s">
        <v>514</v>
      </c>
      <c r="E72" s="2">
        <v>45362</v>
      </c>
      <c r="F72" t="s">
        <v>518</v>
      </c>
      <c r="G72">
        <v>14070.95</v>
      </c>
      <c r="H72">
        <v>293020.75</v>
      </c>
      <c r="I72">
        <v>5.44</v>
      </c>
      <c r="J72">
        <v>978156.61</v>
      </c>
      <c r="K72">
        <v>13</v>
      </c>
      <c r="L72">
        <v>25726.33</v>
      </c>
      <c r="M72" t="s">
        <v>523</v>
      </c>
      <c r="N72">
        <v>18</v>
      </c>
    </row>
    <row r="73" spans="1:14" x14ac:dyDescent="0.3">
      <c r="A73">
        <v>100072</v>
      </c>
      <c r="B73">
        <v>5436919126</v>
      </c>
      <c r="C73" t="s">
        <v>85</v>
      </c>
      <c r="D73" t="s">
        <v>514</v>
      </c>
      <c r="E73" s="2">
        <v>45363</v>
      </c>
      <c r="F73" t="s">
        <v>518</v>
      </c>
      <c r="G73">
        <v>4431.26</v>
      </c>
      <c r="H73">
        <v>320945.38</v>
      </c>
      <c r="I73">
        <v>7.47</v>
      </c>
      <c r="J73">
        <v>146798.45000000001</v>
      </c>
      <c r="K73">
        <v>17</v>
      </c>
      <c r="L73">
        <v>6746.73</v>
      </c>
      <c r="M73" t="s">
        <v>521</v>
      </c>
      <c r="N73">
        <v>18</v>
      </c>
    </row>
    <row r="74" spans="1:14" x14ac:dyDescent="0.3">
      <c r="A74">
        <v>100073</v>
      </c>
      <c r="B74">
        <v>2482069727</v>
      </c>
      <c r="C74" t="s">
        <v>86</v>
      </c>
      <c r="D74" t="s">
        <v>515</v>
      </c>
      <c r="E74" s="2">
        <v>45364</v>
      </c>
      <c r="F74" t="s">
        <v>518</v>
      </c>
      <c r="G74">
        <v>4740.08</v>
      </c>
      <c r="H74">
        <v>400977.94</v>
      </c>
      <c r="I74">
        <v>5.56</v>
      </c>
      <c r="J74">
        <v>57903.95</v>
      </c>
      <c r="K74">
        <v>17</v>
      </c>
      <c r="L74">
        <v>9284.0300000000007</v>
      </c>
      <c r="M74" t="s">
        <v>523</v>
      </c>
      <c r="N74">
        <v>18</v>
      </c>
    </row>
    <row r="75" spans="1:14" x14ac:dyDescent="0.3">
      <c r="A75">
        <v>100074</v>
      </c>
      <c r="B75">
        <v>3724518272</v>
      </c>
      <c r="C75" t="s">
        <v>87</v>
      </c>
      <c r="D75" t="s">
        <v>516</v>
      </c>
      <c r="E75" s="2">
        <v>45365</v>
      </c>
      <c r="F75" t="s">
        <v>518</v>
      </c>
      <c r="G75">
        <v>44762.45</v>
      </c>
      <c r="H75">
        <v>204025.53</v>
      </c>
      <c r="I75">
        <v>4.2</v>
      </c>
      <c r="J75">
        <v>461903.65</v>
      </c>
      <c r="K75">
        <v>5</v>
      </c>
      <c r="L75">
        <v>18238.45</v>
      </c>
      <c r="M75" t="s">
        <v>520</v>
      </c>
      <c r="N75">
        <v>18</v>
      </c>
    </row>
    <row r="76" spans="1:14" x14ac:dyDescent="0.3">
      <c r="A76">
        <v>100075</v>
      </c>
      <c r="B76">
        <v>7575313972</v>
      </c>
      <c r="C76" t="s">
        <v>88</v>
      </c>
      <c r="D76" t="s">
        <v>515</v>
      </c>
      <c r="E76" s="2">
        <v>45366</v>
      </c>
      <c r="F76" t="s">
        <v>518</v>
      </c>
      <c r="G76">
        <v>9997.43</v>
      </c>
      <c r="H76">
        <v>458394.13</v>
      </c>
      <c r="I76">
        <v>8.67</v>
      </c>
      <c r="J76">
        <v>137994.21</v>
      </c>
      <c r="K76">
        <v>6</v>
      </c>
      <c r="L76">
        <v>38322.120000000003</v>
      </c>
      <c r="M76" t="s">
        <v>519</v>
      </c>
      <c r="N76">
        <v>18</v>
      </c>
    </row>
    <row r="77" spans="1:14" x14ac:dyDescent="0.3">
      <c r="A77">
        <v>100076</v>
      </c>
      <c r="B77">
        <v>7007905237</v>
      </c>
      <c r="C77" t="s">
        <v>89</v>
      </c>
      <c r="D77" t="s">
        <v>515</v>
      </c>
      <c r="E77" s="2">
        <v>45367</v>
      </c>
      <c r="F77" t="s">
        <v>518</v>
      </c>
      <c r="G77">
        <v>16506.89</v>
      </c>
      <c r="H77">
        <v>271184.14</v>
      </c>
      <c r="I77">
        <v>3.49</v>
      </c>
      <c r="J77">
        <v>760965.13</v>
      </c>
      <c r="K77">
        <v>19</v>
      </c>
      <c r="L77">
        <v>25847.040000000001</v>
      </c>
      <c r="M77" t="s">
        <v>522</v>
      </c>
      <c r="N77">
        <v>18</v>
      </c>
    </row>
    <row r="78" spans="1:14" x14ac:dyDescent="0.3">
      <c r="A78">
        <v>100077</v>
      </c>
      <c r="B78">
        <v>1647326920</v>
      </c>
      <c r="C78" t="s">
        <v>90</v>
      </c>
      <c r="D78" t="s">
        <v>516</v>
      </c>
      <c r="E78" s="2">
        <v>45368</v>
      </c>
      <c r="F78" t="s">
        <v>518</v>
      </c>
      <c r="G78">
        <v>11719.49</v>
      </c>
      <c r="H78">
        <v>87397.86</v>
      </c>
      <c r="I78">
        <v>9.74</v>
      </c>
      <c r="J78">
        <v>918821.23</v>
      </c>
      <c r="K78">
        <v>13</v>
      </c>
      <c r="L78">
        <v>32257.19</v>
      </c>
      <c r="M78" t="s">
        <v>523</v>
      </c>
      <c r="N78">
        <v>18</v>
      </c>
    </row>
    <row r="79" spans="1:14" x14ac:dyDescent="0.3">
      <c r="A79">
        <v>100078</v>
      </c>
      <c r="B79">
        <v>8283460559</v>
      </c>
      <c r="C79" t="s">
        <v>91</v>
      </c>
      <c r="D79" t="s">
        <v>516</v>
      </c>
      <c r="E79" s="2">
        <v>45369</v>
      </c>
      <c r="F79" t="s">
        <v>517</v>
      </c>
      <c r="G79">
        <v>18072.32</v>
      </c>
      <c r="H79">
        <v>350990.57</v>
      </c>
      <c r="I79">
        <v>5.86</v>
      </c>
      <c r="J79">
        <v>462319.92</v>
      </c>
      <c r="K79">
        <v>14</v>
      </c>
      <c r="L79">
        <v>49273.55</v>
      </c>
      <c r="M79" t="s">
        <v>522</v>
      </c>
      <c r="N79">
        <v>18</v>
      </c>
    </row>
    <row r="80" spans="1:14" x14ac:dyDescent="0.3">
      <c r="A80">
        <v>100079</v>
      </c>
      <c r="B80">
        <v>4686622978</v>
      </c>
      <c r="C80" t="s">
        <v>92</v>
      </c>
      <c r="D80" t="s">
        <v>516</v>
      </c>
      <c r="E80" s="2">
        <v>45370</v>
      </c>
      <c r="F80" t="s">
        <v>517</v>
      </c>
      <c r="G80">
        <v>3936.48</v>
      </c>
      <c r="H80">
        <v>398698.06</v>
      </c>
      <c r="I80">
        <v>3</v>
      </c>
      <c r="J80">
        <v>295776.06</v>
      </c>
      <c r="K80">
        <v>4</v>
      </c>
      <c r="L80">
        <v>38632.269999999997</v>
      </c>
      <c r="M80" t="s">
        <v>521</v>
      </c>
      <c r="N80">
        <v>18</v>
      </c>
    </row>
    <row r="81" spans="1:14" x14ac:dyDescent="0.3">
      <c r="A81">
        <v>100080</v>
      </c>
      <c r="B81">
        <v>2707558823</v>
      </c>
      <c r="C81" t="s">
        <v>93</v>
      </c>
      <c r="D81" t="s">
        <v>514</v>
      </c>
      <c r="E81" s="2">
        <v>45371</v>
      </c>
      <c r="F81" t="s">
        <v>517</v>
      </c>
      <c r="G81">
        <v>26193.46</v>
      </c>
      <c r="H81">
        <v>165213.22</v>
      </c>
      <c r="I81">
        <v>7.6</v>
      </c>
      <c r="J81">
        <v>462683.15</v>
      </c>
      <c r="K81">
        <v>7</v>
      </c>
      <c r="L81">
        <v>22283.71</v>
      </c>
      <c r="M81" t="s">
        <v>519</v>
      </c>
      <c r="N81">
        <v>18</v>
      </c>
    </row>
    <row r="82" spans="1:14" x14ac:dyDescent="0.3">
      <c r="A82">
        <v>100081</v>
      </c>
      <c r="B82">
        <v>8892904807</v>
      </c>
      <c r="C82" t="s">
        <v>94</v>
      </c>
      <c r="D82" t="s">
        <v>516</v>
      </c>
      <c r="E82" s="2">
        <v>45372</v>
      </c>
      <c r="F82" t="s">
        <v>517</v>
      </c>
      <c r="G82">
        <v>3846.82</v>
      </c>
      <c r="H82">
        <v>430017.84</v>
      </c>
      <c r="I82">
        <v>3.42</v>
      </c>
      <c r="J82">
        <v>737275.43</v>
      </c>
      <c r="K82">
        <v>8</v>
      </c>
      <c r="L82">
        <v>22875.65</v>
      </c>
      <c r="M82" t="s">
        <v>519</v>
      </c>
      <c r="N82">
        <v>18</v>
      </c>
    </row>
    <row r="83" spans="1:14" x14ac:dyDescent="0.3">
      <c r="A83">
        <v>100082</v>
      </c>
      <c r="B83">
        <v>3902066954</v>
      </c>
      <c r="C83" t="s">
        <v>95</v>
      </c>
      <c r="D83" t="s">
        <v>515</v>
      </c>
      <c r="E83" s="2">
        <v>45373</v>
      </c>
      <c r="F83" t="s">
        <v>518</v>
      </c>
      <c r="G83">
        <v>40117.65</v>
      </c>
      <c r="H83">
        <v>454010.19</v>
      </c>
      <c r="I83">
        <v>5.49</v>
      </c>
      <c r="J83">
        <v>58601.45</v>
      </c>
      <c r="K83">
        <v>13</v>
      </c>
      <c r="L83">
        <v>31319.83</v>
      </c>
      <c r="M83" t="s">
        <v>523</v>
      </c>
      <c r="N83">
        <v>18</v>
      </c>
    </row>
    <row r="84" spans="1:14" x14ac:dyDescent="0.3">
      <c r="A84">
        <v>100083</v>
      </c>
      <c r="B84">
        <v>1897955761</v>
      </c>
      <c r="C84" t="s">
        <v>96</v>
      </c>
      <c r="D84" t="s">
        <v>516</v>
      </c>
      <c r="E84" s="2">
        <v>45374</v>
      </c>
      <c r="F84" t="s">
        <v>518</v>
      </c>
      <c r="G84">
        <v>12068.75</v>
      </c>
      <c r="H84">
        <v>145683.20000000001</v>
      </c>
      <c r="I84">
        <v>9.36</v>
      </c>
      <c r="J84">
        <v>609981.29</v>
      </c>
      <c r="K84">
        <v>6</v>
      </c>
      <c r="L84">
        <v>33602.9</v>
      </c>
      <c r="M84" t="s">
        <v>519</v>
      </c>
      <c r="N84">
        <v>18</v>
      </c>
    </row>
    <row r="85" spans="1:14" x14ac:dyDescent="0.3">
      <c r="A85">
        <v>100084</v>
      </c>
      <c r="B85">
        <v>8283338537</v>
      </c>
      <c r="C85" t="s">
        <v>97</v>
      </c>
      <c r="D85" t="s">
        <v>515</v>
      </c>
      <c r="E85" s="2">
        <v>45375</v>
      </c>
      <c r="F85" t="s">
        <v>518</v>
      </c>
      <c r="G85">
        <v>27230.59</v>
      </c>
      <c r="H85">
        <v>491925.52</v>
      </c>
      <c r="I85">
        <v>3.56</v>
      </c>
      <c r="J85">
        <v>632627.1</v>
      </c>
      <c r="K85">
        <v>6</v>
      </c>
      <c r="L85">
        <v>25534.84</v>
      </c>
      <c r="M85" t="s">
        <v>523</v>
      </c>
      <c r="N85">
        <v>18</v>
      </c>
    </row>
    <row r="86" spans="1:14" x14ac:dyDescent="0.3">
      <c r="A86">
        <v>100085</v>
      </c>
      <c r="B86">
        <v>9513348207</v>
      </c>
      <c r="C86" t="s">
        <v>98</v>
      </c>
      <c r="D86" t="s">
        <v>514</v>
      </c>
      <c r="E86" s="2">
        <v>45376</v>
      </c>
      <c r="F86" t="s">
        <v>517</v>
      </c>
      <c r="G86">
        <v>44063.91</v>
      </c>
      <c r="H86">
        <v>78948.649999999994</v>
      </c>
      <c r="I86">
        <v>10.55</v>
      </c>
      <c r="J86">
        <v>655803.82999999996</v>
      </c>
      <c r="K86">
        <v>3</v>
      </c>
      <c r="L86">
        <v>32598.2</v>
      </c>
      <c r="M86" t="s">
        <v>523</v>
      </c>
      <c r="N86">
        <v>18</v>
      </c>
    </row>
    <row r="87" spans="1:14" x14ac:dyDescent="0.3">
      <c r="A87">
        <v>100086</v>
      </c>
      <c r="B87">
        <v>3218934259</v>
      </c>
      <c r="C87" t="s">
        <v>99</v>
      </c>
      <c r="D87" t="s">
        <v>515</v>
      </c>
      <c r="E87" s="2">
        <v>45377</v>
      </c>
      <c r="F87" t="s">
        <v>518</v>
      </c>
      <c r="G87">
        <v>32718.43</v>
      </c>
      <c r="H87">
        <v>108987.68</v>
      </c>
      <c r="I87">
        <v>3.03</v>
      </c>
      <c r="J87">
        <v>279920.98</v>
      </c>
      <c r="K87">
        <v>3</v>
      </c>
      <c r="L87">
        <v>2153.09</v>
      </c>
      <c r="M87" t="s">
        <v>522</v>
      </c>
      <c r="N87">
        <v>18</v>
      </c>
    </row>
    <row r="88" spans="1:14" x14ac:dyDescent="0.3">
      <c r="A88">
        <v>100087</v>
      </c>
      <c r="B88">
        <v>9573844352</v>
      </c>
      <c r="C88" t="s">
        <v>100</v>
      </c>
      <c r="D88" t="s">
        <v>515</v>
      </c>
      <c r="E88" s="2">
        <v>45378</v>
      </c>
      <c r="F88" t="s">
        <v>518</v>
      </c>
      <c r="G88">
        <v>26881.41</v>
      </c>
      <c r="H88">
        <v>100270.17</v>
      </c>
      <c r="I88">
        <v>5.22</v>
      </c>
      <c r="J88">
        <v>728350.09</v>
      </c>
      <c r="K88">
        <v>13</v>
      </c>
      <c r="L88">
        <v>22051.52</v>
      </c>
      <c r="M88" t="s">
        <v>519</v>
      </c>
      <c r="N88">
        <v>18</v>
      </c>
    </row>
    <row r="89" spans="1:14" x14ac:dyDescent="0.3">
      <c r="A89">
        <v>100088</v>
      </c>
      <c r="B89">
        <v>4790894239</v>
      </c>
      <c r="C89" t="s">
        <v>101</v>
      </c>
      <c r="D89" t="s">
        <v>516</v>
      </c>
      <c r="E89" s="2">
        <v>45379</v>
      </c>
      <c r="F89" t="s">
        <v>518</v>
      </c>
      <c r="G89">
        <v>16554.52</v>
      </c>
      <c r="H89">
        <v>448054.96</v>
      </c>
      <c r="I89">
        <v>9.67</v>
      </c>
      <c r="J89">
        <v>136821.91</v>
      </c>
      <c r="K89">
        <v>2</v>
      </c>
      <c r="L89">
        <v>14667.97</v>
      </c>
      <c r="M89" t="s">
        <v>523</v>
      </c>
      <c r="N89">
        <v>18</v>
      </c>
    </row>
    <row r="90" spans="1:14" x14ac:dyDescent="0.3">
      <c r="A90">
        <v>100089</v>
      </c>
      <c r="B90">
        <v>2197743336</v>
      </c>
      <c r="C90" t="s">
        <v>102</v>
      </c>
      <c r="D90" t="s">
        <v>516</v>
      </c>
      <c r="E90" s="2">
        <v>45380</v>
      </c>
      <c r="F90" t="s">
        <v>517</v>
      </c>
      <c r="G90">
        <v>16983.59</v>
      </c>
      <c r="H90">
        <v>330603.34999999998</v>
      </c>
      <c r="I90">
        <v>5.85</v>
      </c>
      <c r="J90">
        <v>239306.82</v>
      </c>
      <c r="K90">
        <v>16</v>
      </c>
      <c r="L90">
        <v>7329.55</v>
      </c>
      <c r="M90" t="s">
        <v>522</v>
      </c>
      <c r="N90">
        <v>18</v>
      </c>
    </row>
    <row r="91" spans="1:14" x14ac:dyDescent="0.3">
      <c r="A91">
        <v>100090</v>
      </c>
      <c r="B91">
        <v>8168249959</v>
      </c>
      <c r="C91" t="s">
        <v>103</v>
      </c>
      <c r="D91" t="s">
        <v>515</v>
      </c>
      <c r="E91" s="2">
        <v>45381</v>
      </c>
      <c r="F91" t="s">
        <v>518</v>
      </c>
      <c r="G91">
        <v>33639.599999999999</v>
      </c>
      <c r="H91">
        <v>84531.1</v>
      </c>
      <c r="I91">
        <v>3.92</v>
      </c>
      <c r="J91">
        <v>883596.54</v>
      </c>
      <c r="K91">
        <v>6</v>
      </c>
      <c r="L91">
        <v>5877.78</v>
      </c>
      <c r="M91" t="s">
        <v>520</v>
      </c>
      <c r="N91">
        <v>18</v>
      </c>
    </row>
    <row r="92" spans="1:14" x14ac:dyDescent="0.3">
      <c r="A92">
        <v>100091</v>
      </c>
      <c r="B92">
        <v>9332809688</v>
      </c>
      <c r="C92" t="s">
        <v>104</v>
      </c>
      <c r="D92" t="s">
        <v>516</v>
      </c>
      <c r="E92" s="2">
        <v>45382</v>
      </c>
      <c r="F92" t="s">
        <v>517</v>
      </c>
      <c r="G92">
        <v>49709.9</v>
      </c>
      <c r="H92">
        <v>225758.48</v>
      </c>
      <c r="I92">
        <v>6.24</v>
      </c>
      <c r="J92">
        <v>751786.99</v>
      </c>
      <c r="K92">
        <v>8</v>
      </c>
      <c r="L92">
        <v>30556.42</v>
      </c>
      <c r="M92" t="s">
        <v>522</v>
      </c>
      <c r="N92">
        <v>18</v>
      </c>
    </row>
    <row r="93" spans="1:14" x14ac:dyDescent="0.3">
      <c r="A93">
        <v>100092</v>
      </c>
      <c r="B93">
        <v>2219431313</v>
      </c>
      <c r="C93" t="s">
        <v>105</v>
      </c>
      <c r="D93" t="s">
        <v>514</v>
      </c>
      <c r="E93" s="2">
        <v>45383</v>
      </c>
      <c r="F93" t="s">
        <v>517</v>
      </c>
      <c r="G93">
        <v>33261.040000000001</v>
      </c>
      <c r="H93">
        <v>311496.03000000003</v>
      </c>
      <c r="I93">
        <v>5.43</v>
      </c>
      <c r="J93">
        <v>63058.28</v>
      </c>
      <c r="K93">
        <v>8</v>
      </c>
      <c r="L93">
        <v>26656.43</v>
      </c>
      <c r="M93" t="s">
        <v>522</v>
      </c>
      <c r="N93">
        <v>18</v>
      </c>
    </row>
    <row r="94" spans="1:14" x14ac:dyDescent="0.3">
      <c r="A94">
        <v>100093</v>
      </c>
      <c r="B94">
        <v>7380662465</v>
      </c>
      <c r="C94" t="s">
        <v>106</v>
      </c>
      <c r="D94" t="s">
        <v>514</v>
      </c>
      <c r="E94" s="2">
        <v>45384</v>
      </c>
      <c r="F94" t="s">
        <v>517</v>
      </c>
      <c r="G94">
        <v>28110.28</v>
      </c>
      <c r="H94">
        <v>50897.4</v>
      </c>
      <c r="I94">
        <v>10.58</v>
      </c>
      <c r="J94">
        <v>285957.45</v>
      </c>
      <c r="K94">
        <v>6</v>
      </c>
      <c r="L94">
        <v>13425.62</v>
      </c>
      <c r="M94" t="s">
        <v>523</v>
      </c>
      <c r="N94">
        <v>18</v>
      </c>
    </row>
    <row r="95" spans="1:14" x14ac:dyDescent="0.3">
      <c r="A95">
        <v>100094</v>
      </c>
      <c r="B95">
        <v>7220934306</v>
      </c>
      <c r="C95" t="s">
        <v>107</v>
      </c>
      <c r="D95" t="s">
        <v>516</v>
      </c>
      <c r="E95" s="2">
        <v>45385</v>
      </c>
      <c r="F95" t="s">
        <v>517</v>
      </c>
      <c r="G95">
        <v>36667.199999999997</v>
      </c>
      <c r="H95">
        <v>442384.02</v>
      </c>
      <c r="I95">
        <v>5.82</v>
      </c>
      <c r="J95">
        <v>253686.16</v>
      </c>
      <c r="K95">
        <v>14</v>
      </c>
      <c r="L95">
        <v>24076.55</v>
      </c>
      <c r="M95" t="s">
        <v>521</v>
      </c>
      <c r="N95">
        <v>18</v>
      </c>
    </row>
    <row r="96" spans="1:14" x14ac:dyDescent="0.3">
      <c r="A96">
        <v>100095</v>
      </c>
      <c r="B96">
        <v>1755593187</v>
      </c>
      <c r="C96" t="s">
        <v>108</v>
      </c>
      <c r="D96" t="s">
        <v>514</v>
      </c>
      <c r="E96" s="2">
        <v>45386</v>
      </c>
      <c r="F96" t="s">
        <v>518</v>
      </c>
      <c r="G96">
        <v>23527.68</v>
      </c>
      <c r="H96">
        <v>403765.73</v>
      </c>
      <c r="I96">
        <v>10.1</v>
      </c>
      <c r="J96">
        <v>307266.01</v>
      </c>
      <c r="K96">
        <v>3</v>
      </c>
      <c r="L96">
        <v>25119.38</v>
      </c>
      <c r="M96" t="s">
        <v>521</v>
      </c>
      <c r="N96">
        <v>18</v>
      </c>
    </row>
    <row r="97" spans="1:14" x14ac:dyDescent="0.3">
      <c r="A97">
        <v>100096</v>
      </c>
      <c r="B97">
        <v>1077633091</v>
      </c>
      <c r="C97" t="s">
        <v>109</v>
      </c>
      <c r="D97" t="s">
        <v>516</v>
      </c>
      <c r="E97" s="2">
        <v>45387</v>
      </c>
      <c r="F97" t="s">
        <v>517</v>
      </c>
      <c r="G97">
        <v>3477.05</v>
      </c>
      <c r="H97">
        <v>257551.32</v>
      </c>
      <c r="I97">
        <v>11.03</v>
      </c>
      <c r="J97">
        <v>285181.78000000003</v>
      </c>
      <c r="K97">
        <v>10</v>
      </c>
      <c r="L97">
        <v>10555.44</v>
      </c>
      <c r="M97" t="s">
        <v>521</v>
      </c>
      <c r="N97">
        <v>18</v>
      </c>
    </row>
    <row r="98" spans="1:14" x14ac:dyDescent="0.3">
      <c r="A98">
        <v>100097</v>
      </c>
      <c r="B98">
        <v>3121257357</v>
      </c>
      <c r="C98" t="s">
        <v>110</v>
      </c>
      <c r="D98" t="s">
        <v>515</v>
      </c>
      <c r="E98" s="2">
        <v>45388</v>
      </c>
      <c r="F98" t="s">
        <v>517</v>
      </c>
      <c r="G98">
        <v>28333.69</v>
      </c>
      <c r="H98">
        <v>483892.04</v>
      </c>
      <c r="I98">
        <v>6.9</v>
      </c>
      <c r="J98">
        <v>109399.98</v>
      </c>
      <c r="K98">
        <v>3</v>
      </c>
      <c r="L98">
        <v>32952.559999999998</v>
      </c>
      <c r="M98" t="s">
        <v>522</v>
      </c>
      <c r="N98">
        <v>18</v>
      </c>
    </row>
    <row r="99" spans="1:14" x14ac:dyDescent="0.3">
      <c r="A99">
        <v>100098</v>
      </c>
      <c r="B99">
        <v>1768037679</v>
      </c>
      <c r="C99" t="s">
        <v>111</v>
      </c>
      <c r="D99" t="s">
        <v>515</v>
      </c>
      <c r="E99" s="2">
        <v>45389</v>
      </c>
      <c r="F99" t="s">
        <v>518</v>
      </c>
      <c r="G99">
        <v>47902.45</v>
      </c>
      <c r="H99">
        <v>214702.88</v>
      </c>
      <c r="I99">
        <v>11.19</v>
      </c>
      <c r="J99">
        <v>485993.49</v>
      </c>
      <c r="K99">
        <v>12</v>
      </c>
      <c r="L99">
        <v>39265.050000000003</v>
      </c>
      <c r="M99" t="s">
        <v>523</v>
      </c>
      <c r="N99">
        <v>18</v>
      </c>
    </row>
    <row r="100" spans="1:14" x14ac:dyDescent="0.3">
      <c r="A100">
        <v>100099</v>
      </c>
      <c r="B100">
        <v>2323111039</v>
      </c>
      <c r="C100" t="s">
        <v>112</v>
      </c>
      <c r="D100" t="s">
        <v>514</v>
      </c>
      <c r="E100" s="2">
        <v>45390</v>
      </c>
      <c r="F100" t="s">
        <v>518</v>
      </c>
      <c r="G100">
        <v>9177.5</v>
      </c>
      <c r="H100">
        <v>492214.06</v>
      </c>
      <c r="I100">
        <v>6.4</v>
      </c>
      <c r="J100">
        <v>746096.8</v>
      </c>
      <c r="K100">
        <v>17</v>
      </c>
      <c r="L100">
        <v>39781.71</v>
      </c>
      <c r="M100" t="s">
        <v>519</v>
      </c>
      <c r="N100">
        <v>18</v>
      </c>
    </row>
    <row r="101" spans="1:14" x14ac:dyDescent="0.3">
      <c r="A101">
        <v>100100</v>
      </c>
      <c r="B101">
        <v>3330192559</v>
      </c>
      <c r="C101" t="s">
        <v>113</v>
      </c>
      <c r="D101" t="s">
        <v>516</v>
      </c>
      <c r="E101" s="2">
        <v>45391</v>
      </c>
      <c r="F101" t="s">
        <v>517</v>
      </c>
      <c r="G101">
        <v>34655.24</v>
      </c>
      <c r="H101">
        <v>337280.8</v>
      </c>
      <c r="I101">
        <v>11.68</v>
      </c>
      <c r="J101">
        <v>626395.14</v>
      </c>
      <c r="K101">
        <v>5</v>
      </c>
      <c r="L101">
        <v>30521.02</v>
      </c>
      <c r="M101" t="s">
        <v>522</v>
      </c>
      <c r="N101">
        <v>18</v>
      </c>
    </row>
    <row r="102" spans="1:14" x14ac:dyDescent="0.3">
      <c r="A102">
        <v>100101</v>
      </c>
      <c r="B102">
        <v>7828443293</v>
      </c>
      <c r="C102" t="s">
        <v>114</v>
      </c>
      <c r="D102" t="s">
        <v>516</v>
      </c>
      <c r="E102" s="2">
        <v>45392</v>
      </c>
      <c r="F102" t="s">
        <v>518</v>
      </c>
      <c r="G102">
        <v>10446.219999999999</v>
      </c>
      <c r="H102">
        <v>320988.92</v>
      </c>
      <c r="I102">
        <v>3.8</v>
      </c>
      <c r="J102">
        <v>689228.09</v>
      </c>
      <c r="K102">
        <v>9</v>
      </c>
      <c r="L102">
        <v>26070.29</v>
      </c>
      <c r="M102" t="s">
        <v>522</v>
      </c>
      <c r="N102">
        <v>18</v>
      </c>
    </row>
    <row r="103" spans="1:14" x14ac:dyDescent="0.3">
      <c r="A103">
        <v>100102</v>
      </c>
      <c r="B103">
        <v>9499280101</v>
      </c>
      <c r="C103" t="s">
        <v>115</v>
      </c>
      <c r="D103" t="s">
        <v>514</v>
      </c>
      <c r="E103" s="2">
        <v>45393</v>
      </c>
      <c r="F103" t="s">
        <v>517</v>
      </c>
      <c r="G103">
        <v>27023.47</v>
      </c>
      <c r="H103">
        <v>91317.9</v>
      </c>
      <c r="I103">
        <v>9.18</v>
      </c>
      <c r="J103">
        <v>127091.72</v>
      </c>
      <c r="K103">
        <v>7</v>
      </c>
      <c r="L103">
        <v>3989.35</v>
      </c>
      <c r="M103" t="s">
        <v>523</v>
      </c>
      <c r="N103">
        <v>18</v>
      </c>
    </row>
    <row r="104" spans="1:14" x14ac:dyDescent="0.3">
      <c r="A104">
        <v>100103</v>
      </c>
      <c r="B104">
        <v>3090541618</v>
      </c>
      <c r="C104" t="s">
        <v>116</v>
      </c>
      <c r="D104" t="s">
        <v>515</v>
      </c>
      <c r="E104" s="2">
        <v>45394</v>
      </c>
      <c r="F104" t="s">
        <v>517</v>
      </c>
      <c r="G104">
        <v>5285.48</v>
      </c>
      <c r="H104">
        <v>442144.6</v>
      </c>
      <c r="I104">
        <v>7.44</v>
      </c>
      <c r="J104">
        <v>953916.17</v>
      </c>
      <c r="K104">
        <v>4</v>
      </c>
      <c r="L104">
        <v>15103.73</v>
      </c>
      <c r="M104" t="s">
        <v>520</v>
      </c>
      <c r="N104">
        <v>18</v>
      </c>
    </row>
    <row r="105" spans="1:14" x14ac:dyDescent="0.3">
      <c r="A105">
        <v>100104</v>
      </c>
      <c r="B105">
        <v>9186631943</v>
      </c>
      <c r="C105" t="s">
        <v>117</v>
      </c>
      <c r="D105" t="s">
        <v>514</v>
      </c>
      <c r="E105" s="2">
        <v>45395</v>
      </c>
      <c r="F105" t="s">
        <v>517</v>
      </c>
      <c r="G105">
        <v>22793.360000000001</v>
      </c>
      <c r="H105">
        <v>219469.95</v>
      </c>
      <c r="I105">
        <v>6.49</v>
      </c>
      <c r="J105">
        <v>846567.24</v>
      </c>
      <c r="K105">
        <v>13</v>
      </c>
      <c r="L105">
        <v>5570.3</v>
      </c>
      <c r="M105" t="s">
        <v>522</v>
      </c>
      <c r="N105">
        <v>18</v>
      </c>
    </row>
    <row r="106" spans="1:14" x14ac:dyDescent="0.3">
      <c r="A106">
        <v>100105</v>
      </c>
      <c r="B106">
        <v>6798542612</v>
      </c>
      <c r="C106" t="s">
        <v>118</v>
      </c>
      <c r="D106" t="s">
        <v>515</v>
      </c>
      <c r="E106" s="2">
        <v>45396</v>
      </c>
      <c r="F106" t="s">
        <v>517</v>
      </c>
      <c r="G106">
        <v>37930.080000000002</v>
      </c>
      <c r="H106">
        <v>89494.37</v>
      </c>
      <c r="I106">
        <v>8.69</v>
      </c>
      <c r="J106">
        <v>814835.8</v>
      </c>
      <c r="K106">
        <v>13</v>
      </c>
      <c r="L106">
        <v>48227.33</v>
      </c>
      <c r="M106" t="s">
        <v>520</v>
      </c>
      <c r="N106">
        <v>18</v>
      </c>
    </row>
    <row r="107" spans="1:14" x14ac:dyDescent="0.3">
      <c r="A107">
        <v>100106</v>
      </c>
      <c r="B107">
        <v>8065665120</v>
      </c>
      <c r="C107" t="s">
        <v>119</v>
      </c>
      <c r="D107" t="s">
        <v>516</v>
      </c>
      <c r="E107" s="2">
        <v>45397</v>
      </c>
      <c r="F107" t="s">
        <v>518</v>
      </c>
      <c r="G107">
        <v>17704.79</v>
      </c>
      <c r="H107">
        <v>16177.68</v>
      </c>
      <c r="I107">
        <v>9.33</v>
      </c>
      <c r="J107">
        <v>831834.61</v>
      </c>
      <c r="K107">
        <v>10</v>
      </c>
      <c r="L107">
        <v>7618.93</v>
      </c>
      <c r="M107" t="s">
        <v>520</v>
      </c>
      <c r="N107">
        <v>18</v>
      </c>
    </row>
    <row r="108" spans="1:14" x14ac:dyDescent="0.3">
      <c r="A108">
        <v>100107</v>
      </c>
      <c r="B108">
        <v>1988638203</v>
      </c>
      <c r="C108" t="s">
        <v>120</v>
      </c>
      <c r="D108" t="s">
        <v>515</v>
      </c>
      <c r="E108" s="2">
        <v>45398</v>
      </c>
      <c r="F108" t="s">
        <v>517</v>
      </c>
      <c r="G108">
        <v>33413.129999999997</v>
      </c>
      <c r="H108">
        <v>284280.28000000003</v>
      </c>
      <c r="I108">
        <v>3.04</v>
      </c>
      <c r="J108">
        <v>936074.98</v>
      </c>
      <c r="K108">
        <v>18</v>
      </c>
      <c r="L108">
        <v>8437</v>
      </c>
      <c r="M108" t="s">
        <v>521</v>
      </c>
      <c r="N108">
        <v>18</v>
      </c>
    </row>
    <row r="109" spans="1:14" x14ac:dyDescent="0.3">
      <c r="A109">
        <v>100108</v>
      </c>
      <c r="B109">
        <v>3144019247</v>
      </c>
      <c r="C109" t="s">
        <v>121</v>
      </c>
      <c r="D109" t="s">
        <v>514</v>
      </c>
      <c r="E109" s="2">
        <v>45399</v>
      </c>
      <c r="F109" t="s">
        <v>518</v>
      </c>
      <c r="G109">
        <v>39874.769999999997</v>
      </c>
      <c r="H109">
        <v>268425.81</v>
      </c>
      <c r="I109">
        <v>4.5</v>
      </c>
      <c r="J109">
        <v>567041.27</v>
      </c>
      <c r="K109">
        <v>17</v>
      </c>
      <c r="L109">
        <v>44589.25</v>
      </c>
      <c r="M109" t="s">
        <v>523</v>
      </c>
      <c r="N109">
        <v>18</v>
      </c>
    </row>
    <row r="110" spans="1:14" x14ac:dyDescent="0.3">
      <c r="A110">
        <v>100109</v>
      </c>
      <c r="B110">
        <v>1187276799</v>
      </c>
      <c r="C110" t="s">
        <v>122</v>
      </c>
      <c r="D110" t="s">
        <v>516</v>
      </c>
      <c r="E110" s="2">
        <v>45400</v>
      </c>
      <c r="F110" t="s">
        <v>518</v>
      </c>
      <c r="G110">
        <v>46395.3</v>
      </c>
      <c r="H110">
        <v>362483.27</v>
      </c>
      <c r="I110">
        <v>9.42</v>
      </c>
      <c r="J110">
        <v>240267.92</v>
      </c>
      <c r="K110">
        <v>13</v>
      </c>
      <c r="L110">
        <v>47252.49</v>
      </c>
      <c r="M110" t="s">
        <v>520</v>
      </c>
      <c r="N110">
        <v>18</v>
      </c>
    </row>
    <row r="111" spans="1:14" x14ac:dyDescent="0.3">
      <c r="A111">
        <v>100110</v>
      </c>
      <c r="B111">
        <v>5271561899</v>
      </c>
      <c r="C111" t="s">
        <v>123</v>
      </c>
      <c r="D111" t="s">
        <v>514</v>
      </c>
      <c r="E111" s="2">
        <v>45401</v>
      </c>
      <c r="F111" t="s">
        <v>518</v>
      </c>
      <c r="G111">
        <v>12114.78</v>
      </c>
      <c r="H111">
        <v>446226.45</v>
      </c>
      <c r="I111">
        <v>9</v>
      </c>
      <c r="J111">
        <v>635944.43000000005</v>
      </c>
      <c r="K111">
        <v>17</v>
      </c>
      <c r="L111">
        <v>38525.620000000003</v>
      </c>
      <c r="M111" t="s">
        <v>523</v>
      </c>
      <c r="N111">
        <v>18</v>
      </c>
    </row>
    <row r="112" spans="1:14" x14ac:dyDescent="0.3">
      <c r="A112">
        <v>100111</v>
      </c>
      <c r="B112">
        <v>2200702509</v>
      </c>
      <c r="C112" t="s">
        <v>124</v>
      </c>
      <c r="D112" t="s">
        <v>514</v>
      </c>
      <c r="E112" s="2">
        <v>45402</v>
      </c>
      <c r="F112" t="s">
        <v>518</v>
      </c>
      <c r="G112">
        <v>20266.14</v>
      </c>
      <c r="H112">
        <v>48909.23</v>
      </c>
      <c r="I112">
        <v>11.69</v>
      </c>
      <c r="J112">
        <v>755737.42</v>
      </c>
      <c r="K112">
        <v>4</v>
      </c>
      <c r="L112">
        <v>1264.8399999999999</v>
      </c>
      <c r="M112" t="s">
        <v>521</v>
      </c>
      <c r="N112">
        <v>18</v>
      </c>
    </row>
    <row r="113" spans="1:14" x14ac:dyDescent="0.3">
      <c r="A113">
        <v>100112</v>
      </c>
      <c r="B113">
        <v>4794577925</v>
      </c>
      <c r="C113" t="s">
        <v>125</v>
      </c>
      <c r="D113" t="s">
        <v>515</v>
      </c>
      <c r="E113" s="2">
        <v>45403</v>
      </c>
      <c r="F113" t="s">
        <v>517</v>
      </c>
      <c r="G113">
        <v>8044.59</v>
      </c>
      <c r="H113">
        <v>368433.28</v>
      </c>
      <c r="I113">
        <v>9.85</v>
      </c>
      <c r="J113">
        <v>751021.52</v>
      </c>
      <c r="K113">
        <v>1</v>
      </c>
      <c r="L113">
        <v>1065.97</v>
      </c>
      <c r="M113" t="s">
        <v>523</v>
      </c>
      <c r="N113">
        <v>18</v>
      </c>
    </row>
    <row r="114" spans="1:14" x14ac:dyDescent="0.3">
      <c r="A114">
        <v>100113</v>
      </c>
      <c r="B114">
        <v>5093412388</v>
      </c>
      <c r="C114" t="s">
        <v>126</v>
      </c>
      <c r="D114" t="s">
        <v>514</v>
      </c>
      <c r="E114" s="2">
        <v>45404</v>
      </c>
      <c r="F114" t="s">
        <v>518</v>
      </c>
      <c r="G114">
        <v>49627.93</v>
      </c>
      <c r="H114">
        <v>101831.85</v>
      </c>
      <c r="I114">
        <v>11.56</v>
      </c>
      <c r="J114">
        <v>545376.56999999995</v>
      </c>
      <c r="K114">
        <v>1</v>
      </c>
      <c r="L114">
        <v>19526.939999999999</v>
      </c>
      <c r="M114" t="s">
        <v>522</v>
      </c>
      <c r="N114">
        <v>18</v>
      </c>
    </row>
    <row r="115" spans="1:14" x14ac:dyDescent="0.3">
      <c r="A115">
        <v>100114</v>
      </c>
      <c r="B115">
        <v>3374107437</v>
      </c>
      <c r="C115" t="s">
        <v>127</v>
      </c>
      <c r="D115" t="s">
        <v>515</v>
      </c>
      <c r="E115" s="2">
        <v>45405</v>
      </c>
      <c r="F115" t="s">
        <v>517</v>
      </c>
      <c r="G115">
        <v>46386.55</v>
      </c>
      <c r="H115">
        <v>430506.76</v>
      </c>
      <c r="I115">
        <v>9.32</v>
      </c>
      <c r="J115">
        <v>115035.78</v>
      </c>
      <c r="K115">
        <v>15</v>
      </c>
      <c r="L115">
        <v>8026.37</v>
      </c>
      <c r="M115" t="s">
        <v>520</v>
      </c>
      <c r="N115">
        <v>18</v>
      </c>
    </row>
    <row r="116" spans="1:14" x14ac:dyDescent="0.3">
      <c r="A116">
        <v>100115</v>
      </c>
      <c r="B116">
        <v>3457977438</v>
      </c>
      <c r="C116" t="s">
        <v>128</v>
      </c>
      <c r="D116" t="s">
        <v>516</v>
      </c>
      <c r="E116" s="2">
        <v>45406</v>
      </c>
      <c r="F116" t="s">
        <v>518</v>
      </c>
      <c r="G116">
        <v>27227.88</v>
      </c>
      <c r="H116">
        <v>411341.12</v>
      </c>
      <c r="I116">
        <v>5.68</v>
      </c>
      <c r="J116">
        <v>402557.29</v>
      </c>
      <c r="K116">
        <v>13</v>
      </c>
      <c r="L116">
        <v>1900.92</v>
      </c>
      <c r="M116" t="s">
        <v>523</v>
      </c>
      <c r="N116">
        <v>18</v>
      </c>
    </row>
    <row r="117" spans="1:14" x14ac:dyDescent="0.3">
      <c r="A117">
        <v>100116</v>
      </c>
      <c r="B117">
        <v>1323609715</v>
      </c>
      <c r="C117" t="s">
        <v>129</v>
      </c>
      <c r="D117" t="s">
        <v>515</v>
      </c>
      <c r="E117" s="2">
        <v>45407</v>
      </c>
      <c r="F117" t="s">
        <v>518</v>
      </c>
      <c r="G117">
        <v>42180.65</v>
      </c>
      <c r="H117">
        <v>274988.94</v>
      </c>
      <c r="I117">
        <v>3.95</v>
      </c>
      <c r="J117">
        <v>924728.28</v>
      </c>
      <c r="K117">
        <v>17</v>
      </c>
      <c r="L117">
        <v>23739.27</v>
      </c>
      <c r="M117" t="s">
        <v>519</v>
      </c>
      <c r="N117">
        <v>18</v>
      </c>
    </row>
    <row r="118" spans="1:14" x14ac:dyDescent="0.3">
      <c r="A118">
        <v>100117</v>
      </c>
      <c r="B118">
        <v>1819956639</v>
      </c>
      <c r="C118" t="s">
        <v>130</v>
      </c>
      <c r="D118" t="s">
        <v>516</v>
      </c>
      <c r="E118" s="2">
        <v>45408</v>
      </c>
      <c r="F118" t="s">
        <v>517</v>
      </c>
      <c r="G118">
        <v>26287.42</v>
      </c>
      <c r="H118">
        <v>358018.97</v>
      </c>
      <c r="I118">
        <v>10.039999999999999</v>
      </c>
      <c r="J118">
        <v>605226.46</v>
      </c>
      <c r="K118">
        <v>8</v>
      </c>
      <c r="L118">
        <v>47210.03</v>
      </c>
      <c r="M118" t="s">
        <v>523</v>
      </c>
      <c r="N118">
        <v>18</v>
      </c>
    </row>
    <row r="119" spans="1:14" x14ac:dyDescent="0.3">
      <c r="A119">
        <v>100118</v>
      </c>
      <c r="B119">
        <v>2695186921</v>
      </c>
      <c r="C119" t="s">
        <v>131</v>
      </c>
      <c r="D119" t="s">
        <v>515</v>
      </c>
      <c r="E119" s="2">
        <v>45409</v>
      </c>
      <c r="F119" t="s">
        <v>517</v>
      </c>
      <c r="G119">
        <v>31367.49</v>
      </c>
      <c r="H119">
        <v>164031.56</v>
      </c>
      <c r="I119">
        <v>8.8000000000000007</v>
      </c>
      <c r="J119">
        <v>561415.35</v>
      </c>
      <c r="K119">
        <v>18</v>
      </c>
      <c r="L119">
        <v>16867.16</v>
      </c>
      <c r="M119" t="s">
        <v>520</v>
      </c>
      <c r="N119">
        <v>18</v>
      </c>
    </row>
    <row r="120" spans="1:14" x14ac:dyDescent="0.3">
      <c r="A120">
        <v>100119</v>
      </c>
      <c r="B120">
        <v>9289359170</v>
      </c>
      <c r="C120" t="s">
        <v>132</v>
      </c>
      <c r="D120" t="s">
        <v>514</v>
      </c>
      <c r="E120" s="2">
        <v>45410</v>
      </c>
      <c r="F120" t="s">
        <v>517</v>
      </c>
      <c r="G120">
        <v>4911.66</v>
      </c>
      <c r="H120">
        <v>240872.27</v>
      </c>
      <c r="I120">
        <v>3.43</v>
      </c>
      <c r="J120">
        <v>305410.84000000003</v>
      </c>
      <c r="K120">
        <v>13</v>
      </c>
      <c r="L120">
        <v>33395.89</v>
      </c>
      <c r="M120" t="s">
        <v>521</v>
      </c>
      <c r="N120">
        <v>18</v>
      </c>
    </row>
    <row r="121" spans="1:14" x14ac:dyDescent="0.3">
      <c r="A121">
        <v>100120</v>
      </c>
      <c r="B121">
        <v>6835343510</v>
      </c>
      <c r="C121" t="s">
        <v>133</v>
      </c>
      <c r="D121" t="s">
        <v>515</v>
      </c>
      <c r="E121" s="2">
        <v>45411</v>
      </c>
      <c r="F121" t="s">
        <v>518</v>
      </c>
      <c r="G121">
        <v>37885.89</v>
      </c>
      <c r="H121">
        <v>412602.08</v>
      </c>
      <c r="I121">
        <v>6.24</v>
      </c>
      <c r="J121">
        <v>400026.47</v>
      </c>
      <c r="K121">
        <v>14</v>
      </c>
      <c r="L121">
        <v>32959.53</v>
      </c>
      <c r="M121" t="s">
        <v>521</v>
      </c>
      <c r="N121">
        <v>18</v>
      </c>
    </row>
    <row r="122" spans="1:14" x14ac:dyDescent="0.3">
      <c r="A122">
        <v>100121</v>
      </c>
      <c r="B122">
        <v>6386591870</v>
      </c>
      <c r="C122" t="s">
        <v>134</v>
      </c>
      <c r="D122" t="s">
        <v>515</v>
      </c>
      <c r="E122" s="2">
        <v>45412</v>
      </c>
      <c r="F122" t="s">
        <v>518</v>
      </c>
      <c r="G122">
        <v>6821.82</v>
      </c>
      <c r="H122">
        <v>235039.95</v>
      </c>
      <c r="I122">
        <v>11.61</v>
      </c>
      <c r="J122">
        <v>900578.78</v>
      </c>
      <c r="K122">
        <v>8</v>
      </c>
      <c r="L122">
        <v>13302.93</v>
      </c>
      <c r="M122" t="s">
        <v>520</v>
      </c>
      <c r="N122">
        <v>18</v>
      </c>
    </row>
    <row r="123" spans="1:14" x14ac:dyDescent="0.3">
      <c r="A123">
        <v>100122</v>
      </c>
      <c r="B123">
        <v>6680312281</v>
      </c>
      <c r="C123" t="s">
        <v>135</v>
      </c>
      <c r="D123" t="s">
        <v>516</v>
      </c>
      <c r="E123" s="2">
        <v>45413</v>
      </c>
      <c r="F123" t="s">
        <v>517</v>
      </c>
      <c r="G123">
        <v>41390.35</v>
      </c>
      <c r="H123">
        <v>185321.15</v>
      </c>
      <c r="I123">
        <v>7.5</v>
      </c>
      <c r="J123">
        <v>683139.9</v>
      </c>
      <c r="K123">
        <v>8</v>
      </c>
      <c r="L123">
        <v>32870.839999999997</v>
      </c>
      <c r="M123" t="s">
        <v>522</v>
      </c>
      <c r="N123">
        <v>18</v>
      </c>
    </row>
    <row r="124" spans="1:14" x14ac:dyDescent="0.3">
      <c r="A124">
        <v>100123</v>
      </c>
      <c r="B124">
        <v>4645008999</v>
      </c>
      <c r="C124" t="s">
        <v>136</v>
      </c>
      <c r="D124" t="s">
        <v>514</v>
      </c>
      <c r="E124" s="2">
        <v>45414</v>
      </c>
      <c r="F124" t="s">
        <v>517</v>
      </c>
      <c r="G124">
        <v>39210.39</v>
      </c>
      <c r="H124">
        <v>252164.1</v>
      </c>
      <c r="I124">
        <v>6.89</v>
      </c>
      <c r="J124">
        <v>798017.68</v>
      </c>
      <c r="K124">
        <v>15</v>
      </c>
      <c r="L124">
        <v>11404.36</v>
      </c>
      <c r="M124" t="s">
        <v>522</v>
      </c>
      <c r="N124">
        <v>18</v>
      </c>
    </row>
    <row r="125" spans="1:14" x14ac:dyDescent="0.3">
      <c r="A125">
        <v>100124</v>
      </c>
      <c r="B125">
        <v>1586784136</v>
      </c>
      <c r="C125" t="s">
        <v>137</v>
      </c>
      <c r="D125" t="s">
        <v>515</v>
      </c>
      <c r="E125" s="2">
        <v>45415</v>
      </c>
      <c r="F125" t="s">
        <v>517</v>
      </c>
      <c r="G125">
        <v>35582.86</v>
      </c>
      <c r="H125">
        <v>415842.13</v>
      </c>
      <c r="I125">
        <v>7.12</v>
      </c>
      <c r="J125">
        <v>481628.15</v>
      </c>
      <c r="K125">
        <v>13</v>
      </c>
      <c r="L125">
        <v>6978.36</v>
      </c>
      <c r="M125" t="s">
        <v>521</v>
      </c>
      <c r="N125">
        <v>18</v>
      </c>
    </row>
    <row r="126" spans="1:14" x14ac:dyDescent="0.3">
      <c r="A126">
        <v>100125</v>
      </c>
      <c r="B126">
        <v>2273501353</v>
      </c>
      <c r="C126" t="s">
        <v>138</v>
      </c>
      <c r="D126" t="s">
        <v>514</v>
      </c>
      <c r="E126" s="2">
        <v>45416</v>
      </c>
      <c r="F126" t="s">
        <v>517</v>
      </c>
      <c r="G126">
        <v>2289.94</v>
      </c>
      <c r="H126">
        <v>174251.94</v>
      </c>
      <c r="I126">
        <v>4.88</v>
      </c>
      <c r="J126">
        <v>648734.86</v>
      </c>
      <c r="K126">
        <v>7</v>
      </c>
      <c r="L126">
        <v>35367.78</v>
      </c>
      <c r="M126" t="s">
        <v>521</v>
      </c>
      <c r="N126">
        <v>18</v>
      </c>
    </row>
    <row r="127" spans="1:14" x14ac:dyDescent="0.3">
      <c r="A127">
        <v>100126</v>
      </c>
      <c r="B127">
        <v>3626431383</v>
      </c>
      <c r="C127" t="s">
        <v>139</v>
      </c>
      <c r="D127" t="s">
        <v>515</v>
      </c>
      <c r="E127" s="2">
        <v>45417</v>
      </c>
      <c r="F127" t="s">
        <v>518</v>
      </c>
      <c r="G127">
        <v>15504.85</v>
      </c>
      <c r="H127">
        <v>95143.18</v>
      </c>
      <c r="I127">
        <v>6.32</v>
      </c>
      <c r="J127">
        <v>285964.43</v>
      </c>
      <c r="K127">
        <v>5</v>
      </c>
      <c r="L127">
        <v>6558.6</v>
      </c>
      <c r="M127" t="s">
        <v>520</v>
      </c>
      <c r="N127">
        <v>18</v>
      </c>
    </row>
    <row r="128" spans="1:14" x14ac:dyDescent="0.3">
      <c r="A128">
        <v>100127</v>
      </c>
      <c r="B128">
        <v>1350444347</v>
      </c>
      <c r="C128" t="s">
        <v>140</v>
      </c>
      <c r="D128" t="s">
        <v>515</v>
      </c>
      <c r="E128" s="2">
        <v>45418</v>
      </c>
      <c r="F128" t="s">
        <v>517</v>
      </c>
      <c r="G128">
        <v>13524.07</v>
      </c>
      <c r="H128">
        <v>358886.87</v>
      </c>
      <c r="I128">
        <v>6.33</v>
      </c>
      <c r="J128">
        <v>720187.79</v>
      </c>
      <c r="K128">
        <v>17</v>
      </c>
      <c r="L128">
        <v>49848.55</v>
      </c>
      <c r="M128" t="s">
        <v>522</v>
      </c>
      <c r="N128">
        <v>18</v>
      </c>
    </row>
    <row r="129" spans="1:14" x14ac:dyDescent="0.3">
      <c r="A129">
        <v>100128</v>
      </c>
      <c r="B129">
        <v>5317236102</v>
      </c>
      <c r="C129" t="s">
        <v>141</v>
      </c>
      <c r="D129" t="s">
        <v>514</v>
      </c>
      <c r="E129" s="2">
        <v>45419</v>
      </c>
      <c r="F129" t="s">
        <v>517</v>
      </c>
      <c r="G129">
        <v>18326.75</v>
      </c>
      <c r="H129">
        <v>414729.32</v>
      </c>
      <c r="I129">
        <v>3.47</v>
      </c>
      <c r="J129">
        <v>456221.27</v>
      </c>
      <c r="K129">
        <v>16</v>
      </c>
      <c r="L129">
        <v>9989.17</v>
      </c>
      <c r="M129" t="s">
        <v>521</v>
      </c>
      <c r="N129">
        <v>18</v>
      </c>
    </row>
    <row r="130" spans="1:14" x14ac:dyDescent="0.3">
      <c r="A130">
        <v>100129</v>
      </c>
      <c r="B130">
        <v>3696785955</v>
      </c>
      <c r="C130" t="s">
        <v>142</v>
      </c>
      <c r="D130" t="s">
        <v>515</v>
      </c>
      <c r="E130" s="2">
        <v>45420</v>
      </c>
      <c r="F130" t="s">
        <v>517</v>
      </c>
      <c r="G130">
        <v>4838.32</v>
      </c>
      <c r="H130">
        <v>59312.36</v>
      </c>
      <c r="I130">
        <v>9.91</v>
      </c>
      <c r="J130">
        <v>470418.24</v>
      </c>
      <c r="K130">
        <v>2</v>
      </c>
      <c r="L130">
        <v>30112.95</v>
      </c>
      <c r="M130" t="s">
        <v>522</v>
      </c>
      <c r="N130">
        <v>18</v>
      </c>
    </row>
    <row r="131" spans="1:14" x14ac:dyDescent="0.3">
      <c r="A131">
        <v>100130</v>
      </c>
      <c r="B131">
        <v>1834400275</v>
      </c>
      <c r="C131" t="s">
        <v>143</v>
      </c>
      <c r="D131" t="s">
        <v>514</v>
      </c>
      <c r="E131" s="2">
        <v>45421</v>
      </c>
      <c r="F131" t="s">
        <v>517</v>
      </c>
      <c r="G131">
        <v>46879.41</v>
      </c>
      <c r="H131">
        <v>127538.32</v>
      </c>
      <c r="I131">
        <v>6.75</v>
      </c>
      <c r="J131">
        <v>666856.21</v>
      </c>
      <c r="K131">
        <v>18</v>
      </c>
      <c r="L131">
        <v>21157.35</v>
      </c>
      <c r="M131" t="s">
        <v>521</v>
      </c>
      <c r="N131">
        <v>18</v>
      </c>
    </row>
    <row r="132" spans="1:14" x14ac:dyDescent="0.3">
      <c r="A132">
        <v>100131</v>
      </c>
      <c r="B132">
        <v>1304688903</v>
      </c>
      <c r="C132" t="s">
        <v>144</v>
      </c>
      <c r="D132" t="s">
        <v>515</v>
      </c>
      <c r="E132" s="2">
        <v>45422</v>
      </c>
      <c r="F132" t="s">
        <v>518</v>
      </c>
      <c r="G132">
        <v>27913.21</v>
      </c>
      <c r="H132">
        <v>79566.27</v>
      </c>
      <c r="I132">
        <v>10.4</v>
      </c>
      <c r="J132">
        <v>939466.59</v>
      </c>
      <c r="K132">
        <v>17</v>
      </c>
      <c r="L132">
        <v>7192.93</v>
      </c>
      <c r="M132" t="s">
        <v>523</v>
      </c>
      <c r="N132">
        <v>18</v>
      </c>
    </row>
    <row r="133" spans="1:14" x14ac:dyDescent="0.3">
      <c r="A133">
        <v>100132</v>
      </c>
      <c r="B133">
        <v>9708547726</v>
      </c>
      <c r="C133" t="s">
        <v>145</v>
      </c>
      <c r="D133" t="s">
        <v>516</v>
      </c>
      <c r="E133" s="2">
        <v>45423</v>
      </c>
      <c r="F133" t="s">
        <v>517</v>
      </c>
      <c r="G133">
        <v>15623.45</v>
      </c>
      <c r="H133">
        <v>180491.29</v>
      </c>
      <c r="I133">
        <v>10.65</v>
      </c>
      <c r="J133">
        <v>110806.03</v>
      </c>
      <c r="K133">
        <v>7</v>
      </c>
      <c r="L133">
        <v>2364.35</v>
      </c>
      <c r="M133" t="s">
        <v>519</v>
      </c>
      <c r="N133">
        <v>18</v>
      </c>
    </row>
    <row r="134" spans="1:14" x14ac:dyDescent="0.3">
      <c r="A134">
        <v>100133</v>
      </c>
      <c r="B134">
        <v>7178199327</v>
      </c>
      <c r="C134" t="s">
        <v>146</v>
      </c>
      <c r="D134" t="s">
        <v>514</v>
      </c>
      <c r="E134" s="2">
        <v>45424</v>
      </c>
      <c r="F134" t="s">
        <v>518</v>
      </c>
      <c r="G134">
        <v>20150.59</v>
      </c>
      <c r="H134">
        <v>230671.98</v>
      </c>
      <c r="I134">
        <v>4.91</v>
      </c>
      <c r="J134">
        <v>833506.08</v>
      </c>
      <c r="K134">
        <v>13</v>
      </c>
      <c r="L134">
        <v>31513.88</v>
      </c>
      <c r="M134" t="s">
        <v>523</v>
      </c>
      <c r="N134">
        <v>18</v>
      </c>
    </row>
    <row r="135" spans="1:14" x14ac:dyDescent="0.3">
      <c r="A135">
        <v>100134</v>
      </c>
      <c r="B135">
        <v>6704372274</v>
      </c>
      <c r="C135" t="s">
        <v>147</v>
      </c>
      <c r="D135" t="s">
        <v>515</v>
      </c>
      <c r="E135" s="2">
        <v>45425</v>
      </c>
      <c r="F135" t="s">
        <v>517</v>
      </c>
      <c r="G135">
        <v>22636.53</v>
      </c>
      <c r="H135">
        <v>376924.91</v>
      </c>
      <c r="I135">
        <v>8.92</v>
      </c>
      <c r="J135">
        <v>327763.95</v>
      </c>
      <c r="K135">
        <v>18</v>
      </c>
      <c r="L135">
        <v>40531.120000000003</v>
      </c>
      <c r="M135" t="s">
        <v>521</v>
      </c>
      <c r="N135">
        <v>18</v>
      </c>
    </row>
    <row r="136" spans="1:14" x14ac:dyDescent="0.3">
      <c r="A136">
        <v>100135</v>
      </c>
      <c r="B136">
        <v>1665898681</v>
      </c>
      <c r="C136" t="s">
        <v>148</v>
      </c>
      <c r="D136" t="s">
        <v>515</v>
      </c>
      <c r="E136" s="2">
        <v>45426</v>
      </c>
      <c r="F136" t="s">
        <v>517</v>
      </c>
      <c r="G136">
        <v>30229.42</v>
      </c>
      <c r="H136">
        <v>329062.32</v>
      </c>
      <c r="I136">
        <v>7.25</v>
      </c>
      <c r="J136">
        <v>471723.48</v>
      </c>
      <c r="K136">
        <v>14</v>
      </c>
      <c r="L136">
        <v>42258.77</v>
      </c>
      <c r="M136" t="s">
        <v>519</v>
      </c>
      <c r="N136">
        <v>18</v>
      </c>
    </row>
    <row r="137" spans="1:14" x14ac:dyDescent="0.3">
      <c r="A137">
        <v>100136</v>
      </c>
      <c r="B137">
        <v>4603191957</v>
      </c>
      <c r="C137" t="s">
        <v>149</v>
      </c>
      <c r="D137" t="s">
        <v>516</v>
      </c>
      <c r="E137" s="2">
        <v>45427</v>
      </c>
      <c r="F137" t="s">
        <v>518</v>
      </c>
      <c r="G137">
        <v>26026.13</v>
      </c>
      <c r="H137">
        <v>314255</v>
      </c>
      <c r="I137">
        <v>10.92</v>
      </c>
      <c r="J137">
        <v>70817.66</v>
      </c>
      <c r="K137">
        <v>18</v>
      </c>
      <c r="L137">
        <v>24652.959999999999</v>
      </c>
      <c r="M137" t="s">
        <v>519</v>
      </c>
      <c r="N137">
        <v>18</v>
      </c>
    </row>
    <row r="138" spans="1:14" x14ac:dyDescent="0.3">
      <c r="A138">
        <v>100137</v>
      </c>
      <c r="B138">
        <v>8990377017</v>
      </c>
      <c r="C138" t="s">
        <v>150</v>
      </c>
      <c r="D138" t="s">
        <v>514</v>
      </c>
      <c r="E138" s="2">
        <v>45428</v>
      </c>
      <c r="F138" t="s">
        <v>517</v>
      </c>
      <c r="G138">
        <v>46009.9</v>
      </c>
      <c r="H138">
        <v>182663.72</v>
      </c>
      <c r="I138">
        <v>4.9400000000000004</v>
      </c>
      <c r="J138">
        <v>335993.77</v>
      </c>
      <c r="K138">
        <v>13</v>
      </c>
      <c r="L138">
        <v>39095.32</v>
      </c>
      <c r="M138" t="s">
        <v>521</v>
      </c>
      <c r="N138">
        <v>18</v>
      </c>
    </row>
    <row r="139" spans="1:14" x14ac:dyDescent="0.3">
      <c r="A139">
        <v>100138</v>
      </c>
      <c r="B139">
        <v>6369788720</v>
      </c>
      <c r="C139" t="s">
        <v>151</v>
      </c>
      <c r="D139" t="s">
        <v>515</v>
      </c>
      <c r="E139" s="2">
        <v>45429</v>
      </c>
      <c r="F139" t="s">
        <v>518</v>
      </c>
      <c r="G139">
        <v>25099.69</v>
      </c>
      <c r="H139">
        <v>422309.3</v>
      </c>
      <c r="I139">
        <v>9.1</v>
      </c>
      <c r="J139">
        <v>527499.68000000005</v>
      </c>
      <c r="K139">
        <v>11</v>
      </c>
      <c r="L139">
        <v>33969.51</v>
      </c>
      <c r="M139" t="s">
        <v>521</v>
      </c>
      <c r="N139">
        <v>18</v>
      </c>
    </row>
    <row r="140" spans="1:14" x14ac:dyDescent="0.3">
      <c r="A140">
        <v>100139</v>
      </c>
      <c r="B140">
        <v>6597482766</v>
      </c>
      <c r="C140" t="s">
        <v>152</v>
      </c>
      <c r="D140" t="s">
        <v>516</v>
      </c>
      <c r="E140" s="2">
        <v>45430</v>
      </c>
      <c r="F140" t="s">
        <v>518</v>
      </c>
      <c r="G140">
        <v>49611.82</v>
      </c>
      <c r="H140">
        <v>240930.71</v>
      </c>
      <c r="I140">
        <v>8.4700000000000006</v>
      </c>
      <c r="J140">
        <v>103367.27</v>
      </c>
      <c r="K140">
        <v>16</v>
      </c>
      <c r="L140">
        <v>36488.47</v>
      </c>
      <c r="M140" t="s">
        <v>522</v>
      </c>
      <c r="N140">
        <v>18</v>
      </c>
    </row>
    <row r="141" spans="1:14" x14ac:dyDescent="0.3">
      <c r="A141">
        <v>100140</v>
      </c>
      <c r="B141">
        <v>7601718762</v>
      </c>
      <c r="C141" t="s">
        <v>153</v>
      </c>
      <c r="D141" t="s">
        <v>515</v>
      </c>
      <c r="E141" s="2">
        <v>45431</v>
      </c>
      <c r="F141" t="s">
        <v>517</v>
      </c>
      <c r="G141">
        <v>42645.54</v>
      </c>
      <c r="H141">
        <v>489761.42</v>
      </c>
      <c r="I141">
        <v>5.66</v>
      </c>
      <c r="J141">
        <v>516540.94</v>
      </c>
      <c r="K141">
        <v>17</v>
      </c>
      <c r="L141">
        <v>25137.35</v>
      </c>
      <c r="M141" t="s">
        <v>521</v>
      </c>
      <c r="N141">
        <v>18</v>
      </c>
    </row>
    <row r="142" spans="1:14" x14ac:dyDescent="0.3">
      <c r="A142">
        <v>100141</v>
      </c>
      <c r="B142">
        <v>4555670279</v>
      </c>
      <c r="C142" t="s">
        <v>154</v>
      </c>
      <c r="D142" t="s">
        <v>514</v>
      </c>
      <c r="E142" s="2">
        <v>45432</v>
      </c>
      <c r="F142" t="s">
        <v>518</v>
      </c>
      <c r="G142">
        <v>10821.27</v>
      </c>
      <c r="H142">
        <v>320729.65000000002</v>
      </c>
      <c r="I142">
        <v>4.2300000000000004</v>
      </c>
      <c r="J142">
        <v>930755.1</v>
      </c>
      <c r="K142">
        <v>8</v>
      </c>
      <c r="L142">
        <v>32037.18</v>
      </c>
      <c r="M142" t="s">
        <v>520</v>
      </c>
      <c r="N142">
        <v>18</v>
      </c>
    </row>
    <row r="143" spans="1:14" x14ac:dyDescent="0.3">
      <c r="A143">
        <v>100142</v>
      </c>
      <c r="B143">
        <v>2166267963</v>
      </c>
      <c r="C143" t="s">
        <v>155</v>
      </c>
      <c r="D143" t="s">
        <v>515</v>
      </c>
      <c r="E143" s="2">
        <v>45433</v>
      </c>
      <c r="F143" t="s">
        <v>518</v>
      </c>
      <c r="G143">
        <v>46564.46</v>
      </c>
      <c r="H143">
        <v>71869.72</v>
      </c>
      <c r="I143">
        <v>8.86</v>
      </c>
      <c r="J143">
        <v>150123.56</v>
      </c>
      <c r="K143">
        <v>19</v>
      </c>
      <c r="L143">
        <v>40470.769999999997</v>
      </c>
      <c r="M143" t="s">
        <v>521</v>
      </c>
      <c r="N143">
        <v>18</v>
      </c>
    </row>
    <row r="144" spans="1:14" x14ac:dyDescent="0.3">
      <c r="A144">
        <v>100143</v>
      </c>
      <c r="B144">
        <v>2963938918</v>
      </c>
      <c r="C144" t="s">
        <v>156</v>
      </c>
      <c r="D144" t="s">
        <v>515</v>
      </c>
      <c r="E144" s="2">
        <v>45434</v>
      </c>
      <c r="F144" t="s">
        <v>518</v>
      </c>
      <c r="G144">
        <v>6260.14</v>
      </c>
      <c r="H144">
        <v>341327.01</v>
      </c>
      <c r="I144">
        <v>9.65</v>
      </c>
      <c r="J144">
        <v>776218.69</v>
      </c>
      <c r="K144">
        <v>15</v>
      </c>
      <c r="L144">
        <v>20496.32</v>
      </c>
      <c r="M144" t="s">
        <v>520</v>
      </c>
      <c r="N144">
        <v>18</v>
      </c>
    </row>
    <row r="145" spans="1:14" x14ac:dyDescent="0.3">
      <c r="A145">
        <v>100144</v>
      </c>
      <c r="B145">
        <v>1834855903</v>
      </c>
      <c r="C145" t="s">
        <v>157</v>
      </c>
      <c r="D145" t="s">
        <v>515</v>
      </c>
      <c r="E145" s="2">
        <v>45435</v>
      </c>
      <c r="F145" t="s">
        <v>518</v>
      </c>
      <c r="G145">
        <v>40963.760000000002</v>
      </c>
      <c r="H145">
        <v>169300.97</v>
      </c>
      <c r="I145">
        <v>5.84</v>
      </c>
      <c r="J145">
        <v>439187.5</v>
      </c>
      <c r="K145">
        <v>9</v>
      </c>
      <c r="L145">
        <v>40492.97</v>
      </c>
      <c r="M145" t="s">
        <v>521</v>
      </c>
      <c r="N145">
        <v>18</v>
      </c>
    </row>
    <row r="146" spans="1:14" x14ac:dyDescent="0.3">
      <c r="A146">
        <v>100145</v>
      </c>
      <c r="B146">
        <v>5164129137</v>
      </c>
      <c r="C146" t="s">
        <v>158</v>
      </c>
      <c r="D146" t="s">
        <v>515</v>
      </c>
      <c r="E146" s="2">
        <v>45436</v>
      </c>
      <c r="F146" t="s">
        <v>518</v>
      </c>
      <c r="G146">
        <v>19340.849999999999</v>
      </c>
      <c r="H146">
        <v>346300.33</v>
      </c>
      <c r="I146">
        <v>8.8000000000000007</v>
      </c>
      <c r="J146">
        <v>672415.03</v>
      </c>
      <c r="K146">
        <v>10</v>
      </c>
      <c r="L146">
        <v>30008.83</v>
      </c>
      <c r="M146" t="s">
        <v>522</v>
      </c>
      <c r="N146">
        <v>18</v>
      </c>
    </row>
    <row r="147" spans="1:14" x14ac:dyDescent="0.3">
      <c r="A147">
        <v>100146</v>
      </c>
      <c r="B147">
        <v>5471350930</v>
      </c>
      <c r="C147" t="s">
        <v>159</v>
      </c>
      <c r="D147" t="s">
        <v>516</v>
      </c>
      <c r="E147" s="2">
        <v>45437</v>
      </c>
      <c r="F147" t="s">
        <v>518</v>
      </c>
      <c r="G147">
        <v>43959.73</v>
      </c>
      <c r="H147">
        <v>44124.160000000003</v>
      </c>
      <c r="I147">
        <v>6.56</v>
      </c>
      <c r="J147">
        <v>297224.77</v>
      </c>
      <c r="K147">
        <v>12</v>
      </c>
      <c r="L147">
        <v>9129.15</v>
      </c>
      <c r="M147" t="s">
        <v>520</v>
      </c>
      <c r="N147">
        <v>18</v>
      </c>
    </row>
    <row r="148" spans="1:14" x14ac:dyDescent="0.3">
      <c r="A148">
        <v>100147</v>
      </c>
      <c r="B148">
        <v>2712922743</v>
      </c>
      <c r="C148" t="s">
        <v>160</v>
      </c>
      <c r="D148" t="s">
        <v>516</v>
      </c>
      <c r="E148" s="2">
        <v>45438</v>
      </c>
      <c r="F148" t="s">
        <v>518</v>
      </c>
      <c r="G148">
        <v>43468.81</v>
      </c>
      <c r="H148">
        <v>95691.9</v>
      </c>
      <c r="I148">
        <v>9.42</v>
      </c>
      <c r="J148">
        <v>201517.65</v>
      </c>
      <c r="K148">
        <v>1</v>
      </c>
      <c r="L148">
        <v>2209.52</v>
      </c>
      <c r="M148" t="s">
        <v>523</v>
      </c>
      <c r="N148">
        <v>18</v>
      </c>
    </row>
    <row r="149" spans="1:14" x14ac:dyDescent="0.3">
      <c r="A149">
        <v>100148</v>
      </c>
      <c r="B149">
        <v>1791707097</v>
      </c>
      <c r="C149" t="s">
        <v>161</v>
      </c>
      <c r="D149" t="s">
        <v>514</v>
      </c>
      <c r="E149" s="2">
        <v>45439</v>
      </c>
      <c r="F149" t="s">
        <v>518</v>
      </c>
      <c r="G149">
        <v>40393.31</v>
      </c>
      <c r="H149">
        <v>429311.26</v>
      </c>
      <c r="I149">
        <v>4.79</v>
      </c>
      <c r="J149">
        <v>202439.48</v>
      </c>
      <c r="K149">
        <v>9</v>
      </c>
      <c r="L149">
        <v>18774.93</v>
      </c>
      <c r="M149" t="s">
        <v>520</v>
      </c>
      <c r="N149">
        <v>18</v>
      </c>
    </row>
    <row r="150" spans="1:14" x14ac:dyDescent="0.3">
      <c r="A150">
        <v>100149</v>
      </c>
      <c r="B150">
        <v>1347346749</v>
      </c>
      <c r="C150" t="s">
        <v>162</v>
      </c>
      <c r="D150" t="s">
        <v>516</v>
      </c>
      <c r="E150" s="2">
        <v>45440</v>
      </c>
      <c r="F150" t="s">
        <v>517</v>
      </c>
      <c r="G150">
        <v>39606.51</v>
      </c>
      <c r="H150">
        <v>121317.98</v>
      </c>
      <c r="I150">
        <v>11.01</v>
      </c>
      <c r="J150">
        <v>116967.35</v>
      </c>
      <c r="K150">
        <v>15</v>
      </c>
      <c r="L150">
        <v>27788.12</v>
      </c>
      <c r="M150" t="s">
        <v>522</v>
      </c>
      <c r="N150">
        <v>18</v>
      </c>
    </row>
    <row r="151" spans="1:14" x14ac:dyDescent="0.3">
      <c r="A151">
        <v>100150</v>
      </c>
      <c r="B151">
        <v>3957084555</v>
      </c>
      <c r="C151" t="s">
        <v>163</v>
      </c>
      <c r="D151" t="s">
        <v>516</v>
      </c>
      <c r="E151" s="2">
        <v>45441</v>
      </c>
      <c r="F151" t="s">
        <v>517</v>
      </c>
      <c r="G151">
        <v>15581.62</v>
      </c>
      <c r="H151">
        <v>420150.15</v>
      </c>
      <c r="I151">
        <v>5.59</v>
      </c>
      <c r="J151">
        <v>226364.37</v>
      </c>
      <c r="K151">
        <v>1</v>
      </c>
      <c r="L151">
        <v>42151.199999999997</v>
      </c>
      <c r="M151" t="s">
        <v>520</v>
      </c>
      <c r="N151">
        <v>18</v>
      </c>
    </row>
    <row r="152" spans="1:14" x14ac:dyDescent="0.3">
      <c r="A152">
        <v>100151</v>
      </c>
      <c r="B152">
        <v>1249939584</v>
      </c>
      <c r="C152" t="s">
        <v>164</v>
      </c>
      <c r="D152" t="s">
        <v>514</v>
      </c>
      <c r="E152" s="2">
        <v>45442</v>
      </c>
      <c r="F152" t="s">
        <v>518</v>
      </c>
      <c r="G152">
        <v>4505.5</v>
      </c>
      <c r="H152">
        <v>146845.28</v>
      </c>
      <c r="I152">
        <v>6.31</v>
      </c>
      <c r="J152">
        <v>681008.42</v>
      </c>
      <c r="K152">
        <v>12</v>
      </c>
      <c r="L152">
        <v>7246.8</v>
      </c>
      <c r="M152" t="s">
        <v>521</v>
      </c>
      <c r="N152">
        <v>18</v>
      </c>
    </row>
    <row r="153" spans="1:14" x14ac:dyDescent="0.3">
      <c r="A153">
        <v>100152</v>
      </c>
      <c r="B153">
        <v>9225780345</v>
      </c>
      <c r="C153" t="s">
        <v>165</v>
      </c>
      <c r="D153" t="s">
        <v>516</v>
      </c>
      <c r="E153" s="2">
        <v>45443</v>
      </c>
      <c r="F153" t="s">
        <v>517</v>
      </c>
      <c r="G153">
        <v>20447.52</v>
      </c>
      <c r="H153">
        <v>325012.14</v>
      </c>
      <c r="I153">
        <v>3.52</v>
      </c>
      <c r="J153">
        <v>887606.08</v>
      </c>
      <c r="K153">
        <v>3</v>
      </c>
      <c r="L153">
        <v>40210.11</v>
      </c>
      <c r="M153" t="s">
        <v>521</v>
      </c>
      <c r="N153">
        <v>18</v>
      </c>
    </row>
    <row r="154" spans="1:14" x14ac:dyDescent="0.3">
      <c r="A154">
        <v>100153</v>
      </c>
      <c r="B154">
        <v>2899888366</v>
      </c>
      <c r="C154" t="s">
        <v>166</v>
      </c>
      <c r="D154" t="s">
        <v>516</v>
      </c>
      <c r="E154" s="2">
        <v>45444</v>
      </c>
      <c r="F154" t="s">
        <v>518</v>
      </c>
      <c r="G154">
        <v>9089.4599999999991</v>
      </c>
      <c r="H154">
        <v>350133.78</v>
      </c>
      <c r="I154">
        <v>4</v>
      </c>
      <c r="J154">
        <v>823419.4</v>
      </c>
      <c r="K154">
        <v>11</v>
      </c>
      <c r="L154">
        <v>43287.44</v>
      </c>
      <c r="M154" t="s">
        <v>522</v>
      </c>
      <c r="N154">
        <v>18</v>
      </c>
    </row>
    <row r="155" spans="1:14" x14ac:dyDescent="0.3">
      <c r="A155">
        <v>100154</v>
      </c>
      <c r="B155">
        <v>6324846175</v>
      </c>
      <c r="C155" t="s">
        <v>167</v>
      </c>
      <c r="D155" t="s">
        <v>514</v>
      </c>
      <c r="E155" s="2">
        <v>45445</v>
      </c>
      <c r="F155" t="s">
        <v>518</v>
      </c>
      <c r="G155">
        <v>34900.080000000002</v>
      </c>
      <c r="H155">
        <v>261200.83</v>
      </c>
      <c r="I155">
        <v>7.64</v>
      </c>
      <c r="J155">
        <v>700877.59</v>
      </c>
      <c r="K155">
        <v>2</v>
      </c>
      <c r="L155">
        <v>8383.69</v>
      </c>
      <c r="M155" t="s">
        <v>519</v>
      </c>
      <c r="N155">
        <v>18</v>
      </c>
    </row>
    <row r="156" spans="1:14" x14ac:dyDescent="0.3">
      <c r="A156">
        <v>100155</v>
      </c>
      <c r="B156">
        <v>5698150005</v>
      </c>
      <c r="C156" t="s">
        <v>168</v>
      </c>
      <c r="D156" t="s">
        <v>514</v>
      </c>
      <c r="E156" s="2">
        <v>45446</v>
      </c>
      <c r="F156" t="s">
        <v>517</v>
      </c>
      <c r="G156">
        <v>17631.939999999999</v>
      </c>
      <c r="H156">
        <v>159602.23000000001</v>
      </c>
      <c r="I156">
        <v>5.41</v>
      </c>
      <c r="J156">
        <v>154910.26999999999</v>
      </c>
      <c r="K156">
        <v>16</v>
      </c>
      <c r="L156">
        <v>42728.12</v>
      </c>
      <c r="M156" t="s">
        <v>521</v>
      </c>
      <c r="N156">
        <v>18</v>
      </c>
    </row>
    <row r="157" spans="1:14" x14ac:dyDescent="0.3">
      <c r="A157">
        <v>100156</v>
      </c>
      <c r="B157">
        <v>3741351296</v>
      </c>
      <c r="C157" t="s">
        <v>169</v>
      </c>
      <c r="D157" t="s">
        <v>514</v>
      </c>
      <c r="E157" s="2">
        <v>45447</v>
      </c>
      <c r="F157" t="s">
        <v>518</v>
      </c>
      <c r="G157">
        <v>48792.7</v>
      </c>
      <c r="H157">
        <v>114195.74</v>
      </c>
      <c r="I157">
        <v>10.52</v>
      </c>
      <c r="J157">
        <v>324728.07</v>
      </c>
      <c r="K157">
        <v>9</v>
      </c>
      <c r="L157">
        <v>49581.22</v>
      </c>
      <c r="M157" t="s">
        <v>523</v>
      </c>
      <c r="N157">
        <v>18</v>
      </c>
    </row>
    <row r="158" spans="1:14" x14ac:dyDescent="0.3">
      <c r="A158">
        <v>100157</v>
      </c>
      <c r="B158">
        <v>8430462300</v>
      </c>
      <c r="C158" t="s">
        <v>170</v>
      </c>
      <c r="D158" t="s">
        <v>515</v>
      </c>
      <c r="E158" s="2">
        <v>45448</v>
      </c>
      <c r="F158" t="s">
        <v>518</v>
      </c>
      <c r="G158">
        <v>32228.12</v>
      </c>
      <c r="H158">
        <v>26262.78</v>
      </c>
      <c r="I158">
        <v>3.13</v>
      </c>
      <c r="J158">
        <v>344316.53</v>
      </c>
      <c r="K158">
        <v>15</v>
      </c>
      <c r="L158">
        <v>36615.1</v>
      </c>
      <c r="M158" t="s">
        <v>522</v>
      </c>
      <c r="N158">
        <v>18</v>
      </c>
    </row>
    <row r="159" spans="1:14" x14ac:dyDescent="0.3">
      <c r="A159">
        <v>100158</v>
      </c>
      <c r="B159">
        <v>9794873794</v>
      </c>
      <c r="C159" t="s">
        <v>171</v>
      </c>
      <c r="D159" t="s">
        <v>515</v>
      </c>
      <c r="E159" s="2">
        <v>45449</v>
      </c>
      <c r="F159" t="s">
        <v>518</v>
      </c>
      <c r="G159">
        <v>41212.79</v>
      </c>
      <c r="H159">
        <v>158933.74</v>
      </c>
      <c r="I159">
        <v>6.41</v>
      </c>
      <c r="J159">
        <v>287459.09999999998</v>
      </c>
      <c r="K159">
        <v>12</v>
      </c>
      <c r="L159">
        <v>39453.71</v>
      </c>
      <c r="M159" t="s">
        <v>520</v>
      </c>
      <c r="N159">
        <v>18</v>
      </c>
    </row>
    <row r="160" spans="1:14" x14ac:dyDescent="0.3">
      <c r="A160">
        <v>100159</v>
      </c>
      <c r="B160">
        <v>1516103253</v>
      </c>
      <c r="C160" t="s">
        <v>172</v>
      </c>
      <c r="D160" t="s">
        <v>514</v>
      </c>
      <c r="E160" s="2">
        <v>45450</v>
      </c>
      <c r="F160" t="s">
        <v>518</v>
      </c>
      <c r="G160">
        <v>7059.97</v>
      </c>
      <c r="H160">
        <v>330049.77</v>
      </c>
      <c r="I160">
        <v>6.04</v>
      </c>
      <c r="J160">
        <v>539255.38</v>
      </c>
      <c r="K160">
        <v>1</v>
      </c>
      <c r="L160">
        <v>49726.35</v>
      </c>
      <c r="M160" t="s">
        <v>520</v>
      </c>
      <c r="N160">
        <v>18</v>
      </c>
    </row>
    <row r="161" spans="1:14" x14ac:dyDescent="0.3">
      <c r="A161">
        <v>100160</v>
      </c>
      <c r="B161">
        <v>2468362012</v>
      </c>
      <c r="C161" t="s">
        <v>173</v>
      </c>
      <c r="D161" t="s">
        <v>514</v>
      </c>
      <c r="E161" s="2">
        <v>45451</v>
      </c>
      <c r="F161" t="s">
        <v>517</v>
      </c>
      <c r="G161">
        <v>43169.72</v>
      </c>
      <c r="H161">
        <v>469769.36</v>
      </c>
      <c r="I161">
        <v>3.17</v>
      </c>
      <c r="J161">
        <v>558776.12</v>
      </c>
      <c r="K161">
        <v>13</v>
      </c>
      <c r="L161">
        <v>30668.58</v>
      </c>
      <c r="M161" t="s">
        <v>523</v>
      </c>
      <c r="N161">
        <v>18</v>
      </c>
    </row>
    <row r="162" spans="1:14" x14ac:dyDescent="0.3">
      <c r="A162">
        <v>100161</v>
      </c>
      <c r="B162">
        <v>5689241307</v>
      </c>
      <c r="C162" t="s">
        <v>174</v>
      </c>
      <c r="D162" t="s">
        <v>514</v>
      </c>
      <c r="E162" s="2">
        <v>45452</v>
      </c>
      <c r="F162" t="s">
        <v>518</v>
      </c>
      <c r="G162">
        <v>46176.480000000003</v>
      </c>
      <c r="H162">
        <v>436890.2</v>
      </c>
      <c r="I162">
        <v>4.12</v>
      </c>
      <c r="J162">
        <v>389041.68</v>
      </c>
      <c r="K162">
        <v>14</v>
      </c>
      <c r="L162">
        <v>16086.43</v>
      </c>
      <c r="M162" t="s">
        <v>521</v>
      </c>
      <c r="N162">
        <v>18</v>
      </c>
    </row>
    <row r="163" spans="1:14" x14ac:dyDescent="0.3">
      <c r="A163">
        <v>100162</v>
      </c>
      <c r="B163">
        <v>1404401198</v>
      </c>
      <c r="C163" t="s">
        <v>175</v>
      </c>
      <c r="D163" t="s">
        <v>515</v>
      </c>
      <c r="E163" s="2">
        <v>45453</v>
      </c>
      <c r="F163" t="s">
        <v>518</v>
      </c>
      <c r="G163">
        <v>24609.56</v>
      </c>
      <c r="H163">
        <v>385371.74</v>
      </c>
      <c r="I163">
        <v>6.72</v>
      </c>
      <c r="J163">
        <v>386099.7</v>
      </c>
      <c r="K163">
        <v>8</v>
      </c>
      <c r="L163">
        <v>42039.01</v>
      </c>
      <c r="M163" t="s">
        <v>522</v>
      </c>
      <c r="N163">
        <v>18</v>
      </c>
    </row>
    <row r="164" spans="1:14" x14ac:dyDescent="0.3">
      <c r="A164">
        <v>100163</v>
      </c>
      <c r="B164">
        <v>2337509981</v>
      </c>
      <c r="C164" t="s">
        <v>176</v>
      </c>
      <c r="D164" t="s">
        <v>515</v>
      </c>
      <c r="E164" s="2">
        <v>45454</v>
      </c>
      <c r="F164" t="s">
        <v>518</v>
      </c>
      <c r="G164">
        <v>30509.52</v>
      </c>
      <c r="H164">
        <v>396339.20000000001</v>
      </c>
      <c r="I164">
        <v>7.44</v>
      </c>
      <c r="J164">
        <v>837127.82</v>
      </c>
      <c r="K164">
        <v>8</v>
      </c>
      <c r="L164">
        <v>31109.8</v>
      </c>
      <c r="M164" t="s">
        <v>523</v>
      </c>
      <c r="N164">
        <v>18</v>
      </c>
    </row>
    <row r="165" spans="1:14" x14ac:dyDescent="0.3">
      <c r="A165">
        <v>100164</v>
      </c>
      <c r="B165">
        <v>9501932989</v>
      </c>
      <c r="C165" t="s">
        <v>177</v>
      </c>
      <c r="D165" t="s">
        <v>516</v>
      </c>
      <c r="E165" s="2">
        <v>45455</v>
      </c>
      <c r="F165" t="s">
        <v>517</v>
      </c>
      <c r="G165">
        <v>38358.089999999997</v>
      </c>
      <c r="H165">
        <v>335842.6</v>
      </c>
      <c r="I165">
        <v>6.64</v>
      </c>
      <c r="J165">
        <v>799828.21</v>
      </c>
      <c r="K165">
        <v>12</v>
      </c>
      <c r="L165">
        <v>29478.58</v>
      </c>
      <c r="M165" t="s">
        <v>521</v>
      </c>
      <c r="N165">
        <v>18</v>
      </c>
    </row>
    <row r="166" spans="1:14" x14ac:dyDescent="0.3">
      <c r="A166">
        <v>100165</v>
      </c>
      <c r="B166">
        <v>8573592537</v>
      </c>
      <c r="C166" t="s">
        <v>178</v>
      </c>
      <c r="D166" t="s">
        <v>516</v>
      </c>
      <c r="E166" s="2">
        <v>45456</v>
      </c>
      <c r="F166" t="s">
        <v>518</v>
      </c>
      <c r="G166">
        <v>9154.51</v>
      </c>
      <c r="H166">
        <v>137540.56</v>
      </c>
      <c r="I166">
        <v>7.78</v>
      </c>
      <c r="J166">
        <v>342406.04</v>
      </c>
      <c r="K166">
        <v>1</v>
      </c>
      <c r="L166">
        <v>13428.14</v>
      </c>
      <c r="M166" t="s">
        <v>522</v>
      </c>
      <c r="N166">
        <v>18</v>
      </c>
    </row>
    <row r="167" spans="1:14" x14ac:dyDescent="0.3">
      <c r="A167">
        <v>100166</v>
      </c>
      <c r="B167">
        <v>2995758845</v>
      </c>
      <c r="C167" t="s">
        <v>179</v>
      </c>
      <c r="D167" t="s">
        <v>514</v>
      </c>
      <c r="E167" s="2">
        <v>45457</v>
      </c>
      <c r="F167" t="s">
        <v>517</v>
      </c>
      <c r="G167">
        <v>25377.02</v>
      </c>
      <c r="H167">
        <v>454525.57</v>
      </c>
      <c r="I167">
        <v>8.36</v>
      </c>
      <c r="J167">
        <v>918099.02</v>
      </c>
      <c r="K167">
        <v>11</v>
      </c>
      <c r="L167">
        <v>38060.379999999997</v>
      </c>
      <c r="M167" t="s">
        <v>520</v>
      </c>
      <c r="N167">
        <v>18</v>
      </c>
    </row>
    <row r="168" spans="1:14" x14ac:dyDescent="0.3">
      <c r="A168">
        <v>100167</v>
      </c>
      <c r="B168">
        <v>8085724004</v>
      </c>
      <c r="C168" t="s">
        <v>180</v>
      </c>
      <c r="D168" t="s">
        <v>515</v>
      </c>
      <c r="E168" s="2">
        <v>45458</v>
      </c>
      <c r="F168" t="s">
        <v>517</v>
      </c>
      <c r="G168">
        <v>20233.82</v>
      </c>
      <c r="H168">
        <v>338658.83</v>
      </c>
      <c r="I168">
        <v>3.09</v>
      </c>
      <c r="J168">
        <v>955174.27</v>
      </c>
      <c r="K168">
        <v>8</v>
      </c>
      <c r="L168">
        <v>5001.7</v>
      </c>
      <c r="M168" t="s">
        <v>522</v>
      </c>
      <c r="N168">
        <v>18</v>
      </c>
    </row>
    <row r="169" spans="1:14" x14ac:dyDescent="0.3">
      <c r="A169">
        <v>100168</v>
      </c>
      <c r="B169">
        <v>9796346105</v>
      </c>
      <c r="C169" t="s">
        <v>181</v>
      </c>
      <c r="D169" t="s">
        <v>515</v>
      </c>
      <c r="E169" s="2">
        <v>45459</v>
      </c>
      <c r="F169" t="s">
        <v>518</v>
      </c>
      <c r="G169">
        <v>7745.51</v>
      </c>
      <c r="H169">
        <v>284615.90999999997</v>
      </c>
      <c r="I169">
        <v>7.18</v>
      </c>
      <c r="J169">
        <v>360405.41</v>
      </c>
      <c r="K169">
        <v>10</v>
      </c>
      <c r="L169">
        <v>46290.07</v>
      </c>
      <c r="M169" t="s">
        <v>519</v>
      </c>
      <c r="N169">
        <v>18</v>
      </c>
    </row>
    <row r="170" spans="1:14" x14ac:dyDescent="0.3">
      <c r="A170">
        <v>100169</v>
      </c>
      <c r="B170">
        <v>9371517173</v>
      </c>
      <c r="C170" t="s">
        <v>182</v>
      </c>
      <c r="D170" t="s">
        <v>515</v>
      </c>
      <c r="E170" s="2">
        <v>45460</v>
      </c>
      <c r="F170" t="s">
        <v>518</v>
      </c>
      <c r="G170">
        <v>18692.95</v>
      </c>
      <c r="H170">
        <v>64384.84</v>
      </c>
      <c r="I170">
        <v>11.67</v>
      </c>
      <c r="J170">
        <v>386703.7</v>
      </c>
      <c r="K170">
        <v>19</v>
      </c>
      <c r="L170">
        <v>16965.349999999999</v>
      </c>
      <c r="M170" t="s">
        <v>522</v>
      </c>
      <c r="N170">
        <v>18</v>
      </c>
    </row>
    <row r="171" spans="1:14" x14ac:dyDescent="0.3">
      <c r="A171">
        <v>100170</v>
      </c>
      <c r="B171">
        <v>4808263267</v>
      </c>
      <c r="C171" t="s">
        <v>183</v>
      </c>
      <c r="D171" t="s">
        <v>514</v>
      </c>
      <c r="E171" s="2">
        <v>45461</v>
      </c>
      <c r="F171" t="s">
        <v>517</v>
      </c>
      <c r="G171">
        <v>3874.53</v>
      </c>
      <c r="H171">
        <v>229057.22</v>
      </c>
      <c r="I171">
        <v>7.67</v>
      </c>
      <c r="J171">
        <v>530352.44999999995</v>
      </c>
      <c r="K171">
        <v>11</v>
      </c>
      <c r="L171">
        <v>7260.96</v>
      </c>
      <c r="M171" t="s">
        <v>519</v>
      </c>
      <c r="N171">
        <v>18</v>
      </c>
    </row>
    <row r="172" spans="1:14" x14ac:dyDescent="0.3">
      <c r="A172">
        <v>100171</v>
      </c>
      <c r="B172">
        <v>6415496883</v>
      </c>
      <c r="C172" t="s">
        <v>184</v>
      </c>
      <c r="D172" t="s">
        <v>516</v>
      </c>
      <c r="E172" s="2">
        <v>45462</v>
      </c>
      <c r="F172" t="s">
        <v>518</v>
      </c>
      <c r="G172">
        <v>1777.69</v>
      </c>
      <c r="H172">
        <v>235575.55</v>
      </c>
      <c r="I172">
        <v>9.1</v>
      </c>
      <c r="J172">
        <v>944064.77</v>
      </c>
      <c r="K172">
        <v>7</v>
      </c>
      <c r="L172">
        <v>22675.96</v>
      </c>
      <c r="M172" t="s">
        <v>522</v>
      </c>
      <c r="N172">
        <v>18</v>
      </c>
    </row>
    <row r="173" spans="1:14" x14ac:dyDescent="0.3">
      <c r="A173">
        <v>100172</v>
      </c>
      <c r="B173">
        <v>9655667081</v>
      </c>
      <c r="C173" t="s">
        <v>185</v>
      </c>
      <c r="D173" t="s">
        <v>514</v>
      </c>
      <c r="E173" s="2">
        <v>45463</v>
      </c>
      <c r="F173" t="s">
        <v>517</v>
      </c>
      <c r="G173">
        <v>7190.73</v>
      </c>
      <c r="H173">
        <v>433636.17</v>
      </c>
      <c r="I173">
        <v>5.81</v>
      </c>
      <c r="J173">
        <v>882503.46</v>
      </c>
      <c r="K173">
        <v>11</v>
      </c>
      <c r="L173">
        <v>3081.03</v>
      </c>
      <c r="M173" t="s">
        <v>519</v>
      </c>
      <c r="N173">
        <v>18</v>
      </c>
    </row>
    <row r="174" spans="1:14" x14ac:dyDescent="0.3">
      <c r="A174">
        <v>100173</v>
      </c>
      <c r="B174">
        <v>9304045714</v>
      </c>
      <c r="C174" t="s">
        <v>186</v>
      </c>
      <c r="D174" t="s">
        <v>516</v>
      </c>
      <c r="E174" s="2">
        <v>45464</v>
      </c>
      <c r="F174" t="s">
        <v>517</v>
      </c>
      <c r="G174">
        <v>48174.2</v>
      </c>
      <c r="H174">
        <v>277857.63</v>
      </c>
      <c r="I174">
        <v>9.9700000000000006</v>
      </c>
      <c r="J174">
        <v>147439.56</v>
      </c>
      <c r="K174">
        <v>17</v>
      </c>
      <c r="L174">
        <v>34546.68</v>
      </c>
      <c r="M174" t="s">
        <v>520</v>
      </c>
      <c r="N174">
        <v>18</v>
      </c>
    </row>
    <row r="175" spans="1:14" x14ac:dyDescent="0.3">
      <c r="A175">
        <v>100174</v>
      </c>
      <c r="B175">
        <v>7446917215</v>
      </c>
      <c r="C175" t="s">
        <v>187</v>
      </c>
      <c r="D175" t="s">
        <v>516</v>
      </c>
      <c r="E175" s="2">
        <v>45465</v>
      </c>
      <c r="F175" t="s">
        <v>518</v>
      </c>
      <c r="G175">
        <v>27701.71</v>
      </c>
      <c r="H175">
        <v>196396.27</v>
      </c>
      <c r="I175">
        <v>9.9600000000000009</v>
      </c>
      <c r="J175">
        <v>423094.21</v>
      </c>
      <c r="K175">
        <v>1</v>
      </c>
      <c r="L175">
        <v>45232.57</v>
      </c>
      <c r="M175" t="s">
        <v>521</v>
      </c>
      <c r="N175">
        <v>18</v>
      </c>
    </row>
    <row r="176" spans="1:14" x14ac:dyDescent="0.3">
      <c r="A176">
        <v>100175</v>
      </c>
      <c r="B176">
        <v>3316608503</v>
      </c>
      <c r="C176" t="s">
        <v>188</v>
      </c>
      <c r="D176" t="s">
        <v>514</v>
      </c>
      <c r="E176" s="2">
        <v>45466</v>
      </c>
      <c r="F176" t="s">
        <v>518</v>
      </c>
      <c r="G176">
        <v>48308.2</v>
      </c>
      <c r="H176">
        <v>488632.16</v>
      </c>
      <c r="I176">
        <v>7.69</v>
      </c>
      <c r="J176">
        <v>575702.63</v>
      </c>
      <c r="K176">
        <v>8</v>
      </c>
      <c r="L176">
        <v>42025.89</v>
      </c>
      <c r="M176" t="s">
        <v>519</v>
      </c>
      <c r="N176">
        <v>18</v>
      </c>
    </row>
    <row r="177" spans="1:14" x14ac:dyDescent="0.3">
      <c r="A177">
        <v>100176</v>
      </c>
      <c r="B177">
        <v>3937602028</v>
      </c>
      <c r="C177" t="s">
        <v>189</v>
      </c>
      <c r="D177" t="s">
        <v>516</v>
      </c>
      <c r="E177" s="2">
        <v>45467</v>
      </c>
      <c r="F177" t="s">
        <v>517</v>
      </c>
      <c r="G177">
        <v>21908.639999999999</v>
      </c>
      <c r="H177">
        <v>64253.09</v>
      </c>
      <c r="I177">
        <v>11.78</v>
      </c>
      <c r="J177">
        <v>527975.85</v>
      </c>
      <c r="K177">
        <v>6</v>
      </c>
      <c r="L177">
        <v>7241.1</v>
      </c>
      <c r="M177" t="s">
        <v>519</v>
      </c>
      <c r="N177">
        <v>18</v>
      </c>
    </row>
    <row r="178" spans="1:14" x14ac:dyDescent="0.3">
      <c r="A178">
        <v>100177</v>
      </c>
      <c r="B178">
        <v>4724591067</v>
      </c>
      <c r="C178" t="s">
        <v>190</v>
      </c>
      <c r="D178" t="s">
        <v>516</v>
      </c>
      <c r="E178" s="2">
        <v>45468</v>
      </c>
      <c r="F178" t="s">
        <v>517</v>
      </c>
      <c r="G178">
        <v>15934.9</v>
      </c>
      <c r="H178">
        <v>217048.73</v>
      </c>
      <c r="I178">
        <v>4.13</v>
      </c>
      <c r="J178">
        <v>234169.91</v>
      </c>
      <c r="K178">
        <v>18</v>
      </c>
      <c r="L178">
        <v>7187.29</v>
      </c>
      <c r="M178" t="s">
        <v>520</v>
      </c>
      <c r="N178">
        <v>18</v>
      </c>
    </row>
    <row r="179" spans="1:14" x14ac:dyDescent="0.3">
      <c r="A179">
        <v>100178</v>
      </c>
      <c r="B179">
        <v>7757559970</v>
      </c>
      <c r="C179" t="s">
        <v>191</v>
      </c>
      <c r="D179" t="s">
        <v>515</v>
      </c>
      <c r="E179" s="2">
        <v>45469</v>
      </c>
      <c r="F179" t="s">
        <v>517</v>
      </c>
      <c r="G179">
        <v>25554.02</v>
      </c>
      <c r="H179">
        <v>30592.09</v>
      </c>
      <c r="I179">
        <v>3.15</v>
      </c>
      <c r="J179">
        <v>865875.93</v>
      </c>
      <c r="K179">
        <v>6</v>
      </c>
      <c r="L179">
        <v>40858.29</v>
      </c>
      <c r="M179" t="s">
        <v>519</v>
      </c>
      <c r="N179">
        <v>18</v>
      </c>
    </row>
    <row r="180" spans="1:14" x14ac:dyDescent="0.3">
      <c r="A180">
        <v>100179</v>
      </c>
      <c r="B180">
        <v>4484095420</v>
      </c>
      <c r="C180" t="s">
        <v>192</v>
      </c>
      <c r="D180" t="s">
        <v>516</v>
      </c>
      <c r="E180" s="2">
        <v>45470</v>
      </c>
      <c r="F180" t="s">
        <v>517</v>
      </c>
      <c r="G180">
        <v>22255.83</v>
      </c>
      <c r="H180">
        <v>372553.02</v>
      </c>
      <c r="I180">
        <v>9.93</v>
      </c>
      <c r="J180">
        <v>693093.74</v>
      </c>
      <c r="K180">
        <v>5</v>
      </c>
      <c r="L180">
        <v>46288.46</v>
      </c>
      <c r="M180" t="s">
        <v>523</v>
      </c>
      <c r="N180">
        <v>18</v>
      </c>
    </row>
    <row r="181" spans="1:14" x14ac:dyDescent="0.3">
      <c r="A181">
        <v>100180</v>
      </c>
      <c r="B181">
        <v>3688390411</v>
      </c>
      <c r="C181" t="s">
        <v>193</v>
      </c>
      <c r="D181" t="s">
        <v>514</v>
      </c>
      <c r="E181" s="2">
        <v>45471</v>
      </c>
      <c r="F181" t="s">
        <v>518</v>
      </c>
      <c r="G181">
        <v>5730.4</v>
      </c>
      <c r="H181">
        <v>459857.51</v>
      </c>
      <c r="I181">
        <v>10.26</v>
      </c>
      <c r="J181">
        <v>846012.96</v>
      </c>
      <c r="K181">
        <v>13</v>
      </c>
      <c r="L181">
        <v>23572.82</v>
      </c>
      <c r="M181" t="s">
        <v>520</v>
      </c>
      <c r="N181">
        <v>18</v>
      </c>
    </row>
    <row r="182" spans="1:14" x14ac:dyDescent="0.3">
      <c r="A182">
        <v>100181</v>
      </c>
      <c r="B182">
        <v>3798105767</v>
      </c>
      <c r="C182" t="s">
        <v>194</v>
      </c>
      <c r="D182" t="s">
        <v>514</v>
      </c>
      <c r="E182" s="2">
        <v>45472</v>
      </c>
      <c r="F182" t="s">
        <v>518</v>
      </c>
      <c r="G182">
        <v>32220.9</v>
      </c>
      <c r="H182">
        <v>147218.29</v>
      </c>
      <c r="I182">
        <v>4.08</v>
      </c>
      <c r="J182">
        <v>865826.07</v>
      </c>
      <c r="K182">
        <v>19</v>
      </c>
      <c r="L182">
        <v>25449.58</v>
      </c>
      <c r="M182" t="s">
        <v>523</v>
      </c>
      <c r="N182">
        <v>18</v>
      </c>
    </row>
    <row r="183" spans="1:14" x14ac:dyDescent="0.3">
      <c r="A183">
        <v>100182</v>
      </c>
      <c r="B183">
        <v>6182669866</v>
      </c>
      <c r="C183" t="s">
        <v>195</v>
      </c>
      <c r="D183" t="s">
        <v>516</v>
      </c>
      <c r="E183" s="2">
        <v>45473</v>
      </c>
      <c r="F183" t="s">
        <v>518</v>
      </c>
      <c r="G183">
        <v>11193.89</v>
      </c>
      <c r="H183">
        <v>430587.42</v>
      </c>
      <c r="I183">
        <v>5.39</v>
      </c>
      <c r="J183">
        <v>760938.06</v>
      </c>
      <c r="K183">
        <v>8</v>
      </c>
      <c r="L183">
        <v>16594.84</v>
      </c>
      <c r="M183" t="s">
        <v>520</v>
      </c>
      <c r="N183">
        <v>18</v>
      </c>
    </row>
    <row r="184" spans="1:14" x14ac:dyDescent="0.3">
      <c r="A184">
        <v>100183</v>
      </c>
      <c r="B184">
        <v>1921653259</v>
      </c>
      <c r="C184" t="s">
        <v>196</v>
      </c>
      <c r="D184" t="s">
        <v>515</v>
      </c>
      <c r="E184" s="2">
        <v>45474</v>
      </c>
      <c r="F184" t="s">
        <v>518</v>
      </c>
      <c r="G184">
        <v>31169.599999999999</v>
      </c>
      <c r="H184">
        <v>153186.93</v>
      </c>
      <c r="I184">
        <v>3.16</v>
      </c>
      <c r="J184">
        <v>467250.07</v>
      </c>
      <c r="K184">
        <v>9</v>
      </c>
      <c r="L184">
        <v>44818.99</v>
      </c>
      <c r="M184" t="s">
        <v>519</v>
      </c>
      <c r="N184">
        <v>18</v>
      </c>
    </row>
    <row r="185" spans="1:14" x14ac:dyDescent="0.3">
      <c r="A185">
        <v>100184</v>
      </c>
      <c r="B185">
        <v>5462312700</v>
      </c>
      <c r="C185" t="s">
        <v>197</v>
      </c>
      <c r="D185" t="s">
        <v>515</v>
      </c>
      <c r="E185" s="2">
        <v>45475</v>
      </c>
      <c r="F185" t="s">
        <v>518</v>
      </c>
      <c r="G185">
        <v>32684.95</v>
      </c>
      <c r="H185">
        <v>456277.38</v>
      </c>
      <c r="I185">
        <v>5.64</v>
      </c>
      <c r="J185">
        <v>630019.42000000004</v>
      </c>
      <c r="K185">
        <v>17</v>
      </c>
      <c r="L185">
        <v>32600.240000000002</v>
      </c>
      <c r="M185" t="s">
        <v>523</v>
      </c>
      <c r="N185">
        <v>18</v>
      </c>
    </row>
    <row r="186" spans="1:14" x14ac:dyDescent="0.3">
      <c r="A186">
        <v>100185</v>
      </c>
      <c r="B186">
        <v>3816307289</v>
      </c>
      <c r="C186" t="s">
        <v>198</v>
      </c>
      <c r="D186" t="s">
        <v>516</v>
      </c>
      <c r="E186" s="2">
        <v>45476</v>
      </c>
      <c r="F186" t="s">
        <v>517</v>
      </c>
      <c r="G186">
        <v>8025.23</v>
      </c>
      <c r="H186">
        <v>379441.33</v>
      </c>
      <c r="I186">
        <v>9.9600000000000009</v>
      </c>
      <c r="J186">
        <v>202347.14</v>
      </c>
      <c r="K186">
        <v>3</v>
      </c>
      <c r="L186">
        <v>15124.33</v>
      </c>
      <c r="M186" t="s">
        <v>519</v>
      </c>
      <c r="N186">
        <v>18</v>
      </c>
    </row>
    <row r="187" spans="1:14" x14ac:dyDescent="0.3">
      <c r="A187">
        <v>100186</v>
      </c>
      <c r="B187">
        <v>8222475721</v>
      </c>
      <c r="C187" t="s">
        <v>199</v>
      </c>
      <c r="D187" t="s">
        <v>516</v>
      </c>
      <c r="E187" s="2">
        <v>45477</v>
      </c>
      <c r="F187" t="s">
        <v>518</v>
      </c>
      <c r="G187">
        <v>3536.81</v>
      </c>
      <c r="H187">
        <v>404404.32</v>
      </c>
      <c r="I187">
        <v>7.66</v>
      </c>
      <c r="J187">
        <v>689963.15</v>
      </c>
      <c r="K187">
        <v>19</v>
      </c>
      <c r="L187">
        <v>15640.36</v>
      </c>
      <c r="M187" t="s">
        <v>520</v>
      </c>
      <c r="N187">
        <v>18</v>
      </c>
    </row>
    <row r="188" spans="1:14" x14ac:dyDescent="0.3">
      <c r="A188">
        <v>100187</v>
      </c>
      <c r="B188">
        <v>6757938685</v>
      </c>
      <c r="C188" t="s">
        <v>200</v>
      </c>
      <c r="D188" t="s">
        <v>514</v>
      </c>
      <c r="E188" s="2">
        <v>45478</v>
      </c>
      <c r="F188" t="s">
        <v>518</v>
      </c>
      <c r="G188">
        <v>39147.699999999997</v>
      </c>
      <c r="H188">
        <v>18823.21</v>
      </c>
      <c r="I188">
        <v>6.13</v>
      </c>
      <c r="J188">
        <v>220290.59</v>
      </c>
      <c r="K188">
        <v>11</v>
      </c>
      <c r="L188">
        <v>44668.800000000003</v>
      </c>
      <c r="M188" t="s">
        <v>519</v>
      </c>
      <c r="N188">
        <v>18</v>
      </c>
    </row>
    <row r="189" spans="1:14" x14ac:dyDescent="0.3">
      <c r="A189">
        <v>100188</v>
      </c>
      <c r="B189">
        <v>6414641778</v>
      </c>
      <c r="C189" t="s">
        <v>201</v>
      </c>
      <c r="D189" t="s">
        <v>516</v>
      </c>
      <c r="E189" s="2">
        <v>45479</v>
      </c>
      <c r="F189" t="s">
        <v>518</v>
      </c>
      <c r="G189">
        <v>23260.12</v>
      </c>
      <c r="H189">
        <v>481777.07</v>
      </c>
      <c r="I189">
        <v>6.35</v>
      </c>
      <c r="J189">
        <v>709252.11</v>
      </c>
      <c r="K189">
        <v>17</v>
      </c>
      <c r="L189">
        <v>1668.07</v>
      </c>
      <c r="M189" t="s">
        <v>523</v>
      </c>
      <c r="N189">
        <v>18</v>
      </c>
    </row>
    <row r="190" spans="1:14" x14ac:dyDescent="0.3">
      <c r="A190">
        <v>100189</v>
      </c>
      <c r="B190">
        <v>3130464646</v>
      </c>
      <c r="C190" t="s">
        <v>202</v>
      </c>
      <c r="D190" t="s">
        <v>515</v>
      </c>
      <c r="E190" s="2">
        <v>45480</v>
      </c>
      <c r="F190" t="s">
        <v>518</v>
      </c>
      <c r="G190">
        <v>3379.11</v>
      </c>
      <c r="H190">
        <v>366068.79</v>
      </c>
      <c r="I190">
        <v>3.01</v>
      </c>
      <c r="J190">
        <v>268118.25</v>
      </c>
      <c r="K190">
        <v>19</v>
      </c>
      <c r="L190">
        <v>16813.599999999999</v>
      </c>
      <c r="M190" t="s">
        <v>523</v>
      </c>
      <c r="N190">
        <v>18</v>
      </c>
    </row>
    <row r="191" spans="1:14" x14ac:dyDescent="0.3">
      <c r="A191">
        <v>100190</v>
      </c>
      <c r="B191">
        <v>2496094321</v>
      </c>
      <c r="C191" t="s">
        <v>203</v>
      </c>
      <c r="D191" t="s">
        <v>516</v>
      </c>
      <c r="E191" s="2">
        <v>45481</v>
      </c>
      <c r="F191" t="s">
        <v>518</v>
      </c>
      <c r="G191">
        <v>49745.88</v>
      </c>
      <c r="H191">
        <v>159328.04</v>
      </c>
      <c r="I191">
        <v>5.7</v>
      </c>
      <c r="J191">
        <v>161673.74</v>
      </c>
      <c r="K191">
        <v>2</v>
      </c>
      <c r="L191">
        <v>28163.48</v>
      </c>
      <c r="M191" t="s">
        <v>519</v>
      </c>
      <c r="N191">
        <v>18</v>
      </c>
    </row>
    <row r="192" spans="1:14" x14ac:dyDescent="0.3">
      <c r="A192">
        <v>100191</v>
      </c>
      <c r="B192">
        <v>5022873162</v>
      </c>
      <c r="C192" t="s">
        <v>204</v>
      </c>
      <c r="D192" t="s">
        <v>514</v>
      </c>
      <c r="E192" s="2">
        <v>45482</v>
      </c>
      <c r="F192" t="s">
        <v>517</v>
      </c>
      <c r="G192">
        <v>3360.14</v>
      </c>
      <c r="H192">
        <v>416403.39</v>
      </c>
      <c r="I192">
        <v>8.82</v>
      </c>
      <c r="J192">
        <v>207020.27</v>
      </c>
      <c r="K192">
        <v>8</v>
      </c>
      <c r="L192">
        <v>8262.66</v>
      </c>
      <c r="M192" t="s">
        <v>522</v>
      </c>
      <c r="N192">
        <v>18</v>
      </c>
    </row>
    <row r="193" spans="1:14" x14ac:dyDescent="0.3">
      <c r="A193">
        <v>100192</v>
      </c>
      <c r="B193">
        <v>1168303991</v>
      </c>
      <c r="C193" t="s">
        <v>205</v>
      </c>
      <c r="D193" t="s">
        <v>514</v>
      </c>
      <c r="E193" s="2">
        <v>45483</v>
      </c>
      <c r="F193" t="s">
        <v>517</v>
      </c>
      <c r="G193">
        <v>34904.239999999998</v>
      </c>
      <c r="H193">
        <v>147945.39000000001</v>
      </c>
      <c r="I193">
        <v>11.77</v>
      </c>
      <c r="J193">
        <v>51892.53</v>
      </c>
      <c r="K193">
        <v>19</v>
      </c>
      <c r="L193">
        <v>5512.84</v>
      </c>
      <c r="M193" t="s">
        <v>520</v>
      </c>
      <c r="N193">
        <v>18</v>
      </c>
    </row>
    <row r="194" spans="1:14" x14ac:dyDescent="0.3">
      <c r="A194">
        <v>100193</v>
      </c>
      <c r="B194">
        <v>5155726844</v>
      </c>
      <c r="C194" t="s">
        <v>206</v>
      </c>
      <c r="D194" t="s">
        <v>514</v>
      </c>
      <c r="E194" s="2">
        <v>45484</v>
      </c>
      <c r="F194" t="s">
        <v>517</v>
      </c>
      <c r="G194">
        <v>49192.11</v>
      </c>
      <c r="H194">
        <v>437649.38</v>
      </c>
      <c r="I194">
        <v>10.62</v>
      </c>
      <c r="J194">
        <v>732802.64</v>
      </c>
      <c r="K194">
        <v>7</v>
      </c>
      <c r="L194">
        <v>40948.54</v>
      </c>
      <c r="M194" t="s">
        <v>520</v>
      </c>
      <c r="N194">
        <v>18</v>
      </c>
    </row>
    <row r="195" spans="1:14" x14ac:dyDescent="0.3">
      <c r="A195">
        <v>100194</v>
      </c>
      <c r="B195">
        <v>3353521315</v>
      </c>
      <c r="C195" t="s">
        <v>207</v>
      </c>
      <c r="D195" t="s">
        <v>514</v>
      </c>
      <c r="E195" s="2">
        <v>45485</v>
      </c>
      <c r="F195" t="s">
        <v>518</v>
      </c>
      <c r="G195">
        <v>12339.42</v>
      </c>
      <c r="H195">
        <v>65164.39</v>
      </c>
      <c r="I195">
        <v>3.21</v>
      </c>
      <c r="J195">
        <v>745781</v>
      </c>
      <c r="K195">
        <v>17</v>
      </c>
      <c r="L195">
        <v>44825.82</v>
      </c>
      <c r="M195" t="s">
        <v>519</v>
      </c>
      <c r="N195">
        <v>18</v>
      </c>
    </row>
    <row r="196" spans="1:14" x14ac:dyDescent="0.3">
      <c r="A196">
        <v>100195</v>
      </c>
      <c r="B196">
        <v>7113761124</v>
      </c>
      <c r="C196" t="s">
        <v>208</v>
      </c>
      <c r="D196" t="s">
        <v>514</v>
      </c>
      <c r="E196" s="2">
        <v>45486</v>
      </c>
      <c r="F196" t="s">
        <v>517</v>
      </c>
      <c r="G196">
        <v>7541.34</v>
      </c>
      <c r="H196">
        <v>354806.13</v>
      </c>
      <c r="I196">
        <v>11.09</v>
      </c>
      <c r="J196">
        <v>539186.68000000005</v>
      </c>
      <c r="K196">
        <v>6</v>
      </c>
      <c r="L196">
        <v>41356.71</v>
      </c>
      <c r="M196" t="s">
        <v>522</v>
      </c>
      <c r="N196">
        <v>18</v>
      </c>
    </row>
    <row r="197" spans="1:14" x14ac:dyDescent="0.3">
      <c r="A197">
        <v>100196</v>
      </c>
      <c r="B197">
        <v>3441776023</v>
      </c>
      <c r="C197" t="s">
        <v>209</v>
      </c>
      <c r="D197" t="s">
        <v>516</v>
      </c>
      <c r="E197" s="2">
        <v>45487</v>
      </c>
      <c r="F197" t="s">
        <v>517</v>
      </c>
      <c r="G197">
        <v>6508.55</v>
      </c>
      <c r="H197">
        <v>274942.25</v>
      </c>
      <c r="I197">
        <v>10.050000000000001</v>
      </c>
      <c r="J197">
        <v>203294.66</v>
      </c>
      <c r="K197">
        <v>19</v>
      </c>
      <c r="L197">
        <v>45040.61</v>
      </c>
      <c r="M197" t="s">
        <v>523</v>
      </c>
      <c r="N197">
        <v>18</v>
      </c>
    </row>
    <row r="198" spans="1:14" x14ac:dyDescent="0.3">
      <c r="A198">
        <v>100197</v>
      </c>
      <c r="B198">
        <v>4142403170</v>
      </c>
      <c r="C198" t="s">
        <v>210</v>
      </c>
      <c r="D198" t="s">
        <v>516</v>
      </c>
      <c r="E198" s="2">
        <v>45488</v>
      </c>
      <c r="F198" t="s">
        <v>518</v>
      </c>
      <c r="G198">
        <v>15512.12</v>
      </c>
      <c r="H198">
        <v>57301.89</v>
      </c>
      <c r="I198">
        <v>10.02</v>
      </c>
      <c r="J198">
        <v>129376.62</v>
      </c>
      <c r="K198">
        <v>6</v>
      </c>
      <c r="L198">
        <v>28102.49</v>
      </c>
      <c r="M198" t="s">
        <v>521</v>
      </c>
      <c r="N198">
        <v>18</v>
      </c>
    </row>
    <row r="199" spans="1:14" x14ac:dyDescent="0.3">
      <c r="A199">
        <v>100198</v>
      </c>
      <c r="B199">
        <v>6368779760</v>
      </c>
      <c r="C199" t="s">
        <v>211</v>
      </c>
      <c r="D199" t="s">
        <v>516</v>
      </c>
      <c r="E199" s="2">
        <v>45489</v>
      </c>
      <c r="F199" t="s">
        <v>518</v>
      </c>
      <c r="G199">
        <v>5501.77</v>
      </c>
      <c r="H199">
        <v>128527.98</v>
      </c>
      <c r="I199">
        <v>7.12</v>
      </c>
      <c r="J199">
        <v>68172.52</v>
      </c>
      <c r="K199">
        <v>2</v>
      </c>
      <c r="L199">
        <v>40800.65</v>
      </c>
      <c r="M199" t="s">
        <v>521</v>
      </c>
      <c r="N199">
        <v>18</v>
      </c>
    </row>
    <row r="200" spans="1:14" x14ac:dyDescent="0.3">
      <c r="A200">
        <v>100199</v>
      </c>
      <c r="B200">
        <v>7708166367</v>
      </c>
      <c r="C200" t="s">
        <v>212</v>
      </c>
      <c r="D200" t="s">
        <v>516</v>
      </c>
      <c r="E200" s="2">
        <v>45490</v>
      </c>
      <c r="F200" t="s">
        <v>518</v>
      </c>
      <c r="G200">
        <v>34761.99</v>
      </c>
      <c r="H200">
        <v>16077.98</v>
      </c>
      <c r="I200">
        <v>6.58</v>
      </c>
      <c r="J200">
        <v>207460.77</v>
      </c>
      <c r="K200">
        <v>6</v>
      </c>
      <c r="L200">
        <v>19818.09</v>
      </c>
      <c r="M200" t="s">
        <v>519</v>
      </c>
      <c r="N200">
        <v>18</v>
      </c>
    </row>
    <row r="201" spans="1:14" x14ac:dyDescent="0.3">
      <c r="A201">
        <v>100200</v>
      </c>
      <c r="B201">
        <v>2024765707</v>
      </c>
      <c r="C201" t="s">
        <v>213</v>
      </c>
      <c r="D201" t="s">
        <v>514</v>
      </c>
      <c r="E201" s="2">
        <v>45491</v>
      </c>
      <c r="F201" t="s">
        <v>517</v>
      </c>
      <c r="G201">
        <v>3583.44</v>
      </c>
      <c r="H201">
        <v>239696.3</v>
      </c>
      <c r="I201">
        <v>5.73</v>
      </c>
      <c r="J201">
        <v>896312.76</v>
      </c>
      <c r="K201">
        <v>5</v>
      </c>
      <c r="L201">
        <v>33647.129999999997</v>
      </c>
      <c r="M201" t="s">
        <v>522</v>
      </c>
      <c r="N201">
        <v>18</v>
      </c>
    </row>
    <row r="202" spans="1:14" x14ac:dyDescent="0.3">
      <c r="A202">
        <v>100201</v>
      </c>
      <c r="B202">
        <v>3919911094</v>
      </c>
      <c r="C202" t="s">
        <v>214</v>
      </c>
      <c r="D202" t="s">
        <v>515</v>
      </c>
      <c r="E202" s="2">
        <v>45492</v>
      </c>
      <c r="F202" t="s">
        <v>517</v>
      </c>
      <c r="G202">
        <v>25716.400000000001</v>
      </c>
      <c r="H202">
        <v>157619.98000000001</v>
      </c>
      <c r="I202">
        <v>3.59</v>
      </c>
      <c r="J202">
        <v>279460</v>
      </c>
      <c r="K202">
        <v>19</v>
      </c>
      <c r="L202">
        <v>49452.94</v>
      </c>
      <c r="M202" t="s">
        <v>522</v>
      </c>
      <c r="N202">
        <v>18</v>
      </c>
    </row>
    <row r="203" spans="1:14" x14ac:dyDescent="0.3">
      <c r="A203">
        <v>100202</v>
      </c>
      <c r="B203">
        <v>4177883926</v>
      </c>
      <c r="C203" t="s">
        <v>215</v>
      </c>
      <c r="D203" t="s">
        <v>516</v>
      </c>
      <c r="E203" s="2">
        <v>45493</v>
      </c>
      <c r="F203" t="s">
        <v>518</v>
      </c>
      <c r="G203">
        <v>49836.49</v>
      </c>
      <c r="H203">
        <v>303195.17</v>
      </c>
      <c r="I203">
        <v>5.05</v>
      </c>
      <c r="J203">
        <v>386557.76</v>
      </c>
      <c r="K203">
        <v>4</v>
      </c>
      <c r="L203">
        <v>12060.66</v>
      </c>
      <c r="M203" t="s">
        <v>520</v>
      </c>
      <c r="N203">
        <v>18</v>
      </c>
    </row>
    <row r="204" spans="1:14" x14ac:dyDescent="0.3">
      <c r="A204">
        <v>100203</v>
      </c>
      <c r="B204">
        <v>2023216482</v>
      </c>
      <c r="C204" t="s">
        <v>216</v>
      </c>
      <c r="D204" t="s">
        <v>515</v>
      </c>
      <c r="E204" s="2">
        <v>45494</v>
      </c>
      <c r="F204" t="s">
        <v>518</v>
      </c>
      <c r="G204">
        <v>40791.53</v>
      </c>
      <c r="H204">
        <v>155646.53</v>
      </c>
      <c r="I204">
        <v>5.22</v>
      </c>
      <c r="J204">
        <v>150078.21</v>
      </c>
      <c r="K204">
        <v>17</v>
      </c>
      <c r="L204">
        <v>20105.09</v>
      </c>
      <c r="M204" t="s">
        <v>523</v>
      </c>
      <c r="N204">
        <v>18</v>
      </c>
    </row>
    <row r="205" spans="1:14" x14ac:dyDescent="0.3">
      <c r="A205">
        <v>100204</v>
      </c>
      <c r="B205">
        <v>2622333213</v>
      </c>
      <c r="C205" t="s">
        <v>217</v>
      </c>
      <c r="D205" t="s">
        <v>516</v>
      </c>
      <c r="E205" s="2">
        <v>45495</v>
      </c>
      <c r="F205" t="s">
        <v>517</v>
      </c>
      <c r="G205">
        <v>30953.360000000001</v>
      </c>
      <c r="H205">
        <v>156960.35999999999</v>
      </c>
      <c r="I205">
        <v>7.36</v>
      </c>
      <c r="J205">
        <v>261243.24</v>
      </c>
      <c r="K205">
        <v>11</v>
      </c>
      <c r="L205">
        <v>24522.32</v>
      </c>
      <c r="M205" t="s">
        <v>522</v>
      </c>
      <c r="N205">
        <v>18</v>
      </c>
    </row>
    <row r="206" spans="1:14" x14ac:dyDescent="0.3">
      <c r="A206">
        <v>100205</v>
      </c>
      <c r="B206">
        <v>3294919024</v>
      </c>
      <c r="C206" t="s">
        <v>218</v>
      </c>
      <c r="D206" t="s">
        <v>516</v>
      </c>
      <c r="E206" s="2">
        <v>45496</v>
      </c>
      <c r="F206" t="s">
        <v>517</v>
      </c>
      <c r="G206">
        <v>15659.55</v>
      </c>
      <c r="H206">
        <v>374164.67</v>
      </c>
      <c r="I206">
        <v>9.73</v>
      </c>
      <c r="J206">
        <v>543263.34</v>
      </c>
      <c r="K206">
        <v>4</v>
      </c>
      <c r="L206">
        <v>7762.76</v>
      </c>
      <c r="M206" t="s">
        <v>521</v>
      </c>
      <c r="N206">
        <v>18</v>
      </c>
    </row>
    <row r="207" spans="1:14" x14ac:dyDescent="0.3">
      <c r="A207">
        <v>100206</v>
      </c>
      <c r="B207">
        <v>7427681363</v>
      </c>
      <c r="C207" t="s">
        <v>219</v>
      </c>
      <c r="D207" t="s">
        <v>515</v>
      </c>
      <c r="E207" s="2">
        <v>45497</v>
      </c>
      <c r="F207" t="s">
        <v>518</v>
      </c>
      <c r="G207">
        <v>31382.84</v>
      </c>
      <c r="H207">
        <v>33589.99</v>
      </c>
      <c r="I207">
        <v>7.26</v>
      </c>
      <c r="J207">
        <v>627365.05000000005</v>
      </c>
      <c r="K207">
        <v>13</v>
      </c>
      <c r="L207">
        <v>4970.8900000000003</v>
      </c>
      <c r="M207" t="s">
        <v>523</v>
      </c>
      <c r="N207">
        <v>18</v>
      </c>
    </row>
    <row r="208" spans="1:14" x14ac:dyDescent="0.3">
      <c r="A208">
        <v>100207</v>
      </c>
      <c r="B208">
        <v>6573300620</v>
      </c>
      <c r="C208" t="s">
        <v>220</v>
      </c>
      <c r="D208" t="s">
        <v>514</v>
      </c>
      <c r="E208" s="2">
        <v>45498</v>
      </c>
      <c r="F208" t="s">
        <v>518</v>
      </c>
      <c r="G208">
        <v>26588.55</v>
      </c>
      <c r="H208">
        <v>452418.55</v>
      </c>
      <c r="I208">
        <v>3.52</v>
      </c>
      <c r="J208">
        <v>283084.7</v>
      </c>
      <c r="K208">
        <v>17</v>
      </c>
      <c r="L208">
        <v>41656.42</v>
      </c>
      <c r="M208" t="s">
        <v>523</v>
      </c>
      <c r="N208">
        <v>18</v>
      </c>
    </row>
    <row r="209" spans="1:14" x14ac:dyDescent="0.3">
      <c r="A209">
        <v>100208</v>
      </c>
      <c r="B209">
        <v>1229717603</v>
      </c>
      <c r="C209" t="s">
        <v>221</v>
      </c>
      <c r="D209" t="s">
        <v>516</v>
      </c>
      <c r="E209" s="2">
        <v>45499</v>
      </c>
      <c r="F209" t="s">
        <v>517</v>
      </c>
      <c r="G209">
        <v>21591.13</v>
      </c>
      <c r="H209">
        <v>427609.3</v>
      </c>
      <c r="I209">
        <v>11.62</v>
      </c>
      <c r="J209">
        <v>104845.55</v>
      </c>
      <c r="K209">
        <v>9</v>
      </c>
      <c r="L209">
        <v>48862.92</v>
      </c>
      <c r="M209" t="s">
        <v>519</v>
      </c>
      <c r="N209">
        <v>18</v>
      </c>
    </row>
    <row r="210" spans="1:14" x14ac:dyDescent="0.3">
      <c r="A210">
        <v>100209</v>
      </c>
      <c r="B210">
        <v>4638452114</v>
      </c>
      <c r="C210" t="s">
        <v>222</v>
      </c>
      <c r="D210" t="s">
        <v>516</v>
      </c>
      <c r="E210" s="2">
        <v>45500</v>
      </c>
      <c r="F210" t="s">
        <v>518</v>
      </c>
      <c r="G210">
        <v>6970.16</v>
      </c>
      <c r="H210">
        <v>337224.29</v>
      </c>
      <c r="I210">
        <v>11.48</v>
      </c>
      <c r="J210">
        <v>421481.23</v>
      </c>
      <c r="K210">
        <v>4</v>
      </c>
      <c r="L210">
        <v>20831.53</v>
      </c>
      <c r="M210" t="s">
        <v>522</v>
      </c>
      <c r="N210">
        <v>18</v>
      </c>
    </row>
    <row r="211" spans="1:14" x14ac:dyDescent="0.3">
      <c r="A211">
        <v>100210</v>
      </c>
      <c r="B211">
        <v>8201671902</v>
      </c>
      <c r="C211" t="s">
        <v>223</v>
      </c>
      <c r="D211" t="s">
        <v>516</v>
      </c>
      <c r="E211" s="2">
        <v>45501</v>
      </c>
      <c r="F211" t="s">
        <v>517</v>
      </c>
      <c r="G211">
        <v>44386.91</v>
      </c>
      <c r="H211">
        <v>300678.57</v>
      </c>
      <c r="I211">
        <v>10.07</v>
      </c>
      <c r="J211">
        <v>272493.2</v>
      </c>
      <c r="K211">
        <v>14</v>
      </c>
      <c r="L211">
        <v>5294.84</v>
      </c>
      <c r="M211" t="s">
        <v>519</v>
      </c>
      <c r="N211">
        <v>18</v>
      </c>
    </row>
    <row r="212" spans="1:14" x14ac:dyDescent="0.3">
      <c r="A212">
        <v>100211</v>
      </c>
      <c r="B212">
        <v>9947638415</v>
      </c>
      <c r="C212" t="s">
        <v>224</v>
      </c>
      <c r="D212" t="s">
        <v>515</v>
      </c>
      <c r="E212" s="2">
        <v>45502</v>
      </c>
      <c r="F212" t="s">
        <v>517</v>
      </c>
      <c r="G212">
        <v>22764.34</v>
      </c>
      <c r="H212">
        <v>447228.22</v>
      </c>
      <c r="I212">
        <v>11.92</v>
      </c>
      <c r="J212">
        <v>258576.23</v>
      </c>
      <c r="K212">
        <v>19</v>
      </c>
      <c r="L212">
        <v>4224.78</v>
      </c>
      <c r="M212" t="s">
        <v>522</v>
      </c>
      <c r="N212">
        <v>18</v>
      </c>
    </row>
    <row r="213" spans="1:14" x14ac:dyDescent="0.3">
      <c r="A213">
        <v>100212</v>
      </c>
      <c r="B213">
        <v>1393866308</v>
      </c>
      <c r="C213" t="s">
        <v>225</v>
      </c>
      <c r="D213" t="s">
        <v>514</v>
      </c>
      <c r="E213" s="2">
        <v>45503</v>
      </c>
      <c r="F213" t="s">
        <v>517</v>
      </c>
      <c r="G213">
        <v>10133.81</v>
      </c>
      <c r="H213">
        <v>100811.79</v>
      </c>
      <c r="I213">
        <v>7.9</v>
      </c>
      <c r="J213">
        <v>961869.66</v>
      </c>
      <c r="K213">
        <v>3</v>
      </c>
      <c r="L213">
        <v>44674.59</v>
      </c>
      <c r="M213" t="s">
        <v>520</v>
      </c>
      <c r="N213">
        <v>18</v>
      </c>
    </row>
    <row r="214" spans="1:14" x14ac:dyDescent="0.3">
      <c r="A214">
        <v>100213</v>
      </c>
      <c r="B214">
        <v>3378136499</v>
      </c>
      <c r="C214" t="s">
        <v>226</v>
      </c>
      <c r="D214" t="s">
        <v>515</v>
      </c>
      <c r="E214" s="2">
        <v>45504</v>
      </c>
      <c r="F214" t="s">
        <v>517</v>
      </c>
      <c r="G214">
        <v>18704.09</v>
      </c>
      <c r="H214">
        <v>48694.89</v>
      </c>
      <c r="I214">
        <v>11.66</v>
      </c>
      <c r="J214">
        <v>635485.46</v>
      </c>
      <c r="K214">
        <v>14</v>
      </c>
      <c r="L214">
        <v>23726.9</v>
      </c>
      <c r="M214" t="s">
        <v>519</v>
      </c>
      <c r="N214">
        <v>18</v>
      </c>
    </row>
    <row r="215" spans="1:14" x14ac:dyDescent="0.3">
      <c r="A215">
        <v>100214</v>
      </c>
      <c r="B215">
        <v>1487326758</v>
      </c>
      <c r="C215" t="s">
        <v>227</v>
      </c>
      <c r="D215" t="s">
        <v>515</v>
      </c>
      <c r="E215" s="2">
        <v>45505</v>
      </c>
      <c r="F215" t="s">
        <v>518</v>
      </c>
      <c r="G215">
        <v>20999.42</v>
      </c>
      <c r="H215">
        <v>127359.98</v>
      </c>
      <c r="I215">
        <v>3.68</v>
      </c>
      <c r="J215">
        <v>579034.52</v>
      </c>
      <c r="K215">
        <v>8</v>
      </c>
      <c r="L215">
        <v>16681.34</v>
      </c>
      <c r="M215" t="s">
        <v>519</v>
      </c>
      <c r="N215">
        <v>18</v>
      </c>
    </row>
    <row r="216" spans="1:14" x14ac:dyDescent="0.3">
      <c r="A216">
        <v>100215</v>
      </c>
      <c r="B216">
        <v>4998310068</v>
      </c>
      <c r="C216" t="s">
        <v>228</v>
      </c>
      <c r="D216" t="s">
        <v>514</v>
      </c>
      <c r="E216" s="2">
        <v>45506</v>
      </c>
      <c r="F216" t="s">
        <v>518</v>
      </c>
      <c r="G216">
        <v>41463.129999999997</v>
      </c>
      <c r="H216">
        <v>399343.35999999999</v>
      </c>
      <c r="I216">
        <v>6.29</v>
      </c>
      <c r="J216">
        <v>444986.35</v>
      </c>
      <c r="K216">
        <v>1</v>
      </c>
      <c r="L216">
        <v>24346.6</v>
      </c>
      <c r="M216" t="s">
        <v>521</v>
      </c>
      <c r="N216">
        <v>18</v>
      </c>
    </row>
    <row r="217" spans="1:14" x14ac:dyDescent="0.3">
      <c r="A217">
        <v>100216</v>
      </c>
      <c r="B217">
        <v>9479331513</v>
      </c>
      <c r="C217" t="s">
        <v>229</v>
      </c>
      <c r="D217" t="s">
        <v>515</v>
      </c>
      <c r="E217" s="2">
        <v>45507</v>
      </c>
      <c r="F217" t="s">
        <v>517</v>
      </c>
      <c r="G217">
        <v>36813.910000000003</v>
      </c>
      <c r="H217">
        <v>26988.43</v>
      </c>
      <c r="I217">
        <v>5.03</v>
      </c>
      <c r="J217">
        <v>457497.12</v>
      </c>
      <c r="K217">
        <v>10</v>
      </c>
      <c r="L217">
        <v>16596.900000000001</v>
      </c>
      <c r="M217" t="s">
        <v>519</v>
      </c>
      <c r="N217">
        <v>18</v>
      </c>
    </row>
    <row r="218" spans="1:14" x14ac:dyDescent="0.3">
      <c r="A218">
        <v>100217</v>
      </c>
      <c r="B218">
        <v>9829899385</v>
      </c>
      <c r="C218" t="s">
        <v>230</v>
      </c>
      <c r="D218" t="s">
        <v>514</v>
      </c>
      <c r="E218" s="2">
        <v>45508</v>
      </c>
      <c r="F218" t="s">
        <v>517</v>
      </c>
      <c r="G218">
        <v>38580.589999999997</v>
      </c>
      <c r="H218">
        <v>295575.34999999998</v>
      </c>
      <c r="I218">
        <v>4.76</v>
      </c>
      <c r="J218">
        <v>563859.75</v>
      </c>
      <c r="K218">
        <v>18</v>
      </c>
      <c r="L218">
        <v>24962.75</v>
      </c>
      <c r="M218" t="s">
        <v>522</v>
      </c>
      <c r="N218">
        <v>18</v>
      </c>
    </row>
    <row r="219" spans="1:14" x14ac:dyDescent="0.3">
      <c r="A219">
        <v>100218</v>
      </c>
      <c r="B219">
        <v>4165543586</v>
      </c>
      <c r="C219" t="s">
        <v>231</v>
      </c>
      <c r="D219" t="s">
        <v>516</v>
      </c>
      <c r="E219" s="2">
        <v>45509</v>
      </c>
      <c r="F219" t="s">
        <v>517</v>
      </c>
      <c r="G219">
        <v>1046.05</v>
      </c>
      <c r="H219">
        <v>497764.38</v>
      </c>
      <c r="I219">
        <v>4.2699999999999996</v>
      </c>
      <c r="J219">
        <v>711608.31999999995</v>
      </c>
      <c r="K219">
        <v>16</v>
      </c>
      <c r="L219">
        <v>43118.26</v>
      </c>
      <c r="M219" t="s">
        <v>521</v>
      </c>
      <c r="N219">
        <v>18</v>
      </c>
    </row>
    <row r="220" spans="1:14" x14ac:dyDescent="0.3">
      <c r="A220">
        <v>100219</v>
      </c>
      <c r="B220">
        <v>9455295726</v>
      </c>
      <c r="C220" t="s">
        <v>232</v>
      </c>
      <c r="D220" t="s">
        <v>514</v>
      </c>
      <c r="E220" s="2">
        <v>45510</v>
      </c>
      <c r="F220" t="s">
        <v>517</v>
      </c>
      <c r="G220">
        <v>21099.62</v>
      </c>
      <c r="H220">
        <v>429291.09</v>
      </c>
      <c r="I220">
        <v>8.6</v>
      </c>
      <c r="J220">
        <v>717038.79</v>
      </c>
      <c r="K220">
        <v>8</v>
      </c>
      <c r="L220">
        <v>30022.77</v>
      </c>
      <c r="M220" t="s">
        <v>519</v>
      </c>
      <c r="N220">
        <v>18</v>
      </c>
    </row>
    <row r="221" spans="1:14" x14ac:dyDescent="0.3">
      <c r="A221">
        <v>100220</v>
      </c>
      <c r="B221">
        <v>8889699769</v>
      </c>
      <c r="C221" t="s">
        <v>233</v>
      </c>
      <c r="D221" t="s">
        <v>516</v>
      </c>
      <c r="E221" s="2">
        <v>45511</v>
      </c>
      <c r="F221" t="s">
        <v>517</v>
      </c>
      <c r="G221">
        <v>24326.54</v>
      </c>
      <c r="H221">
        <v>265508.39</v>
      </c>
      <c r="I221">
        <v>10.029999999999999</v>
      </c>
      <c r="J221">
        <v>213109.21</v>
      </c>
      <c r="K221">
        <v>1</v>
      </c>
      <c r="L221">
        <v>35038.03</v>
      </c>
      <c r="M221" t="s">
        <v>519</v>
      </c>
      <c r="N221">
        <v>18</v>
      </c>
    </row>
    <row r="222" spans="1:14" x14ac:dyDescent="0.3">
      <c r="A222">
        <v>100221</v>
      </c>
      <c r="B222">
        <v>4601247461</v>
      </c>
      <c r="C222" t="s">
        <v>234</v>
      </c>
      <c r="D222" t="s">
        <v>515</v>
      </c>
      <c r="E222" s="2">
        <v>45512</v>
      </c>
      <c r="F222" t="s">
        <v>518</v>
      </c>
      <c r="G222">
        <v>1450.02</v>
      </c>
      <c r="H222">
        <v>41184.050000000003</v>
      </c>
      <c r="I222">
        <v>8.1999999999999993</v>
      </c>
      <c r="J222">
        <v>525107.11</v>
      </c>
      <c r="K222">
        <v>12</v>
      </c>
      <c r="L222">
        <v>18868.86</v>
      </c>
      <c r="M222" t="s">
        <v>520</v>
      </c>
      <c r="N222">
        <v>18</v>
      </c>
    </row>
    <row r="223" spans="1:14" x14ac:dyDescent="0.3">
      <c r="A223">
        <v>100222</v>
      </c>
      <c r="B223">
        <v>1955958439</v>
      </c>
      <c r="C223" t="s">
        <v>235</v>
      </c>
      <c r="D223" t="s">
        <v>515</v>
      </c>
      <c r="E223" s="2">
        <v>45513</v>
      </c>
      <c r="F223" t="s">
        <v>518</v>
      </c>
      <c r="G223">
        <v>13360.75</v>
      </c>
      <c r="H223">
        <v>417373.02</v>
      </c>
      <c r="I223">
        <v>4.32</v>
      </c>
      <c r="J223">
        <v>441360.19</v>
      </c>
      <c r="K223">
        <v>8</v>
      </c>
      <c r="L223">
        <v>37186.79</v>
      </c>
      <c r="M223" t="s">
        <v>519</v>
      </c>
      <c r="N223">
        <v>18</v>
      </c>
    </row>
    <row r="224" spans="1:14" x14ac:dyDescent="0.3">
      <c r="A224">
        <v>100223</v>
      </c>
      <c r="B224">
        <v>6998572936</v>
      </c>
      <c r="C224" t="s">
        <v>236</v>
      </c>
      <c r="D224" t="s">
        <v>516</v>
      </c>
      <c r="E224" s="2">
        <v>45514</v>
      </c>
      <c r="F224" t="s">
        <v>518</v>
      </c>
      <c r="G224">
        <v>38134.35</v>
      </c>
      <c r="H224">
        <v>303499.46999999997</v>
      </c>
      <c r="I224">
        <v>10.3</v>
      </c>
      <c r="J224">
        <v>877000.62</v>
      </c>
      <c r="K224">
        <v>16</v>
      </c>
      <c r="L224">
        <v>33664.239999999998</v>
      </c>
      <c r="M224" t="s">
        <v>523</v>
      </c>
      <c r="N224">
        <v>18</v>
      </c>
    </row>
    <row r="225" spans="1:14" x14ac:dyDescent="0.3">
      <c r="A225">
        <v>100224</v>
      </c>
      <c r="B225">
        <v>9125635354</v>
      </c>
      <c r="C225" t="s">
        <v>237</v>
      </c>
      <c r="D225" t="s">
        <v>515</v>
      </c>
      <c r="E225" s="2">
        <v>45515</v>
      </c>
      <c r="F225" t="s">
        <v>518</v>
      </c>
      <c r="G225">
        <v>7286.93</v>
      </c>
      <c r="H225">
        <v>66317.17</v>
      </c>
      <c r="I225">
        <v>8.7200000000000006</v>
      </c>
      <c r="J225">
        <v>649847.98</v>
      </c>
      <c r="K225">
        <v>18</v>
      </c>
      <c r="L225">
        <v>6858.54</v>
      </c>
      <c r="M225" t="s">
        <v>521</v>
      </c>
      <c r="N225">
        <v>18</v>
      </c>
    </row>
    <row r="226" spans="1:14" x14ac:dyDescent="0.3">
      <c r="A226">
        <v>100225</v>
      </c>
      <c r="B226">
        <v>5924630209</v>
      </c>
      <c r="C226" t="s">
        <v>238</v>
      </c>
      <c r="D226" t="s">
        <v>514</v>
      </c>
      <c r="E226" s="2">
        <v>45516</v>
      </c>
      <c r="F226" t="s">
        <v>517</v>
      </c>
      <c r="G226">
        <v>26997.85</v>
      </c>
      <c r="H226">
        <v>55990.07</v>
      </c>
      <c r="I226">
        <v>6.49</v>
      </c>
      <c r="J226">
        <v>555878.86</v>
      </c>
      <c r="K226">
        <v>4</v>
      </c>
      <c r="L226">
        <v>29059.5</v>
      </c>
      <c r="M226" t="s">
        <v>523</v>
      </c>
      <c r="N226">
        <v>18</v>
      </c>
    </row>
    <row r="227" spans="1:14" x14ac:dyDescent="0.3">
      <c r="A227">
        <v>100226</v>
      </c>
      <c r="B227">
        <v>3204719132</v>
      </c>
      <c r="C227" t="s">
        <v>239</v>
      </c>
      <c r="D227" t="s">
        <v>516</v>
      </c>
      <c r="E227" s="2">
        <v>45517</v>
      </c>
      <c r="F227" t="s">
        <v>517</v>
      </c>
      <c r="G227">
        <v>11152.49</v>
      </c>
      <c r="H227">
        <v>455717.14</v>
      </c>
      <c r="I227">
        <v>9.07</v>
      </c>
      <c r="J227">
        <v>159624.91</v>
      </c>
      <c r="K227">
        <v>6</v>
      </c>
      <c r="L227">
        <v>13580.43</v>
      </c>
      <c r="M227" t="s">
        <v>521</v>
      </c>
      <c r="N227">
        <v>18</v>
      </c>
    </row>
    <row r="228" spans="1:14" x14ac:dyDescent="0.3">
      <c r="A228">
        <v>100227</v>
      </c>
      <c r="B228">
        <v>2001706917</v>
      </c>
      <c r="C228" t="s">
        <v>240</v>
      </c>
      <c r="D228" t="s">
        <v>515</v>
      </c>
      <c r="E228" s="2">
        <v>45518</v>
      </c>
      <c r="F228" t="s">
        <v>517</v>
      </c>
      <c r="G228">
        <v>1099.98</v>
      </c>
      <c r="H228">
        <v>337908.13</v>
      </c>
      <c r="I228">
        <v>5.34</v>
      </c>
      <c r="J228">
        <v>625355.99</v>
      </c>
      <c r="K228">
        <v>12</v>
      </c>
      <c r="L228">
        <v>40400.69</v>
      </c>
      <c r="M228" t="s">
        <v>520</v>
      </c>
      <c r="N228">
        <v>18</v>
      </c>
    </row>
    <row r="229" spans="1:14" x14ac:dyDescent="0.3">
      <c r="A229">
        <v>100228</v>
      </c>
      <c r="B229">
        <v>4781117269</v>
      </c>
      <c r="C229" t="s">
        <v>241</v>
      </c>
      <c r="D229" t="s">
        <v>516</v>
      </c>
      <c r="E229" s="2">
        <v>45519</v>
      </c>
      <c r="F229" t="s">
        <v>517</v>
      </c>
      <c r="G229">
        <v>12439.47</v>
      </c>
      <c r="H229">
        <v>416350.53</v>
      </c>
      <c r="I229">
        <v>6.11</v>
      </c>
      <c r="J229">
        <v>161343.71</v>
      </c>
      <c r="K229">
        <v>9</v>
      </c>
      <c r="L229">
        <v>21870.95</v>
      </c>
      <c r="M229" t="s">
        <v>519</v>
      </c>
      <c r="N229">
        <v>18</v>
      </c>
    </row>
    <row r="230" spans="1:14" x14ac:dyDescent="0.3">
      <c r="A230">
        <v>100229</v>
      </c>
      <c r="B230">
        <v>3542142764</v>
      </c>
      <c r="C230" t="s">
        <v>242</v>
      </c>
      <c r="D230" t="s">
        <v>514</v>
      </c>
      <c r="E230" s="2">
        <v>45520</v>
      </c>
      <c r="F230" t="s">
        <v>517</v>
      </c>
      <c r="G230">
        <v>48805.75</v>
      </c>
      <c r="H230">
        <v>440699.66</v>
      </c>
      <c r="I230">
        <v>11.26</v>
      </c>
      <c r="J230">
        <v>370346.25</v>
      </c>
      <c r="K230">
        <v>15</v>
      </c>
      <c r="L230">
        <v>49739.519999999997</v>
      </c>
      <c r="M230" t="s">
        <v>519</v>
      </c>
      <c r="N230">
        <v>18</v>
      </c>
    </row>
    <row r="231" spans="1:14" x14ac:dyDescent="0.3">
      <c r="A231">
        <v>100230</v>
      </c>
      <c r="B231">
        <v>8336582395</v>
      </c>
      <c r="C231" t="s">
        <v>243</v>
      </c>
      <c r="D231" t="s">
        <v>514</v>
      </c>
      <c r="E231" s="2">
        <v>45521</v>
      </c>
      <c r="F231" t="s">
        <v>518</v>
      </c>
      <c r="G231">
        <v>40176.089999999997</v>
      </c>
      <c r="H231">
        <v>290168.45</v>
      </c>
      <c r="I231">
        <v>5.61</v>
      </c>
      <c r="J231">
        <v>185699.87</v>
      </c>
      <c r="K231">
        <v>16</v>
      </c>
      <c r="L231">
        <v>5532.52</v>
      </c>
      <c r="M231" t="s">
        <v>519</v>
      </c>
      <c r="N231">
        <v>18</v>
      </c>
    </row>
    <row r="232" spans="1:14" x14ac:dyDescent="0.3">
      <c r="A232">
        <v>100231</v>
      </c>
      <c r="B232">
        <v>2623444331</v>
      </c>
      <c r="C232" t="s">
        <v>244</v>
      </c>
      <c r="D232" t="s">
        <v>515</v>
      </c>
      <c r="E232" s="2">
        <v>45522</v>
      </c>
      <c r="F232" t="s">
        <v>517</v>
      </c>
      <c r="G232">
        <v>47999.040000000001</v>
      </c>
      <c r="H232">
        <v>263548.71000000002</v>
      </c>
      <c r="I232">
        <v>7.23</v>
      </c>
      <c r="J232">
        <v>707469.96</v>
      </c>
      <c r="K232">
        <v>12</v>
      </c>
      <c r="L232">
        <v>39237.050000000003</v>
      </c>
      <c r="M232" t="s">
        <v>521</v>
      </c>
      <c r="N232">
        <v>18</v>
      </c>
    </row>
    <row r="233" spans="1:14" x14ac:dyDescent="0.3">
      <c r="A233">
        <v>100232</v>
      </c>
      <c r="B233">
        <v>8323281574</v>
      </c>
      <c r="C233" t="s">
        <v>245</v>
      </c>
      <c r="D233" t="s">
        <v>514</v>
      </c>
      <c r="E233" s="2">
        <v>45523</v>
      </c>
      <c r="F233" t="s">
        <v>518</v>
      </c>
      <c r="G233">
        <v>24648.78</v>
      </c>
      <c r="H233">
        <v>220909.43</v>
      </c>
      <c r="I233">
        <v>11.01</v>
      </c>
      <c r="J233">
        <v>245939.51</v>
      </c>
      <c r="K233">
        <v>14</v>
      </c>
      <c r="L233">
        <v>34011.379999999997</v>
      </c>
      <c r="M233" t="s">
        <v>519</v>
      </c>
      <c r="N233">
        <v>18</v>
      </c>
    </row>
    <row r="234" spans="1:14" x14ac:dyDescent="0.3">
      <c r="A234">
        <v>100233</v>
      </c>
      <c r="B234">
        <v>6713391122</v>
      </c>
      <c r="C234" t="s">
        <v>246</v>
      </c>
      <c r="D234" t="s">
        <v>516</v>
      </c>
      <c r="E234" s="2">
        <v>45524</v>
      </c>
      <c r="F234" t="s">
        <v>518</v>
      </c>
      <c r="G234">
        <v>5931.94</v>
      </c>
      <c r="H234">
        <v>165303.82999999999</v>
      </c>
      <c r="I234">
        <v>9.3699999999999992</v>
      </c>
      <c r="J234">
        <v>422266.4</v>
      </c>
      <c r="K234">
        <v>13</v>
      </c>
      <c r="L234">
        <v>38607.440000000002</v>
      </c>
      <c r="M234" t="s">
        <v>523</v>
      </c>
      <c r="N234">
        <v>18</v>
      </c>
    </row>
    <row r="235" spans="1:14" x14ac:dyDescent="0.3">
      <c r="A235">
        <v>100234</v>
      </c>
      <c r="B235">
        <v>2740329713</v>
      </c>
      <c r="C235" t="s">
        <v>247</v>
      </c>
      <c r="D235" t="s">
        <v>514</v>
      </c>
      <c r="E235" s="2">
        <v>45525</v>
      </c>
      <c r="F235" t="s">
        <v>518</v>
      </c>
      <c r="G235">
        <v>27623.99</v>
      </c>
      <c r="H235">
        <v>222952.02</v>
      </c>
      <c r="I235">
        <v>3.56</v>
      </c>
      <c r="J235">
        <v>900891.04</v>
      </c>
      <c r="K235">
        <v>2</v>
      </c>
      <c r="L235">
        <v>16068.96</v>
      </c>
      <c r="M235" t="s">
        <v>519</v>
      </c>
      <c r="N235">
        <v>18</v>
      </c>
    </row>
    <row r="236" spans="1:14" x14ac:dyDescent="0.3">
      <c r="A236">
        <v>100235</v>
      </c>
      <c r="B236">
        <v>8477425811</v>
      </c>
      <c r="C236" t="s">
        <v>248</v>
      </c>
      <c r="D236" t="s">
        <v>516</v>
      </c>
      <c r="E236" s="2">
        <v>45526</v>
      </c>
      <c r="F236" t="s">
        <v>518</v>
      </c>
      <c r="G236">
        <v>22991.68</v>
      </c>
      <c r="H236">
        <v>389201.03</v>
      </c>
      <c r="I236">
        <v>4.33</v>
      </c>
      <c r="J236">
        <v>244100.56</v>
      </c>
      <c r="K236">
        <v>3</v>
      </c>
      <c r="L236">
        <v>25110.67</v>
      </c>
      <c r="M236" t="s">
        <v>520</v>
      </c>
      <c r="N236">
        <v>18</v>
      </c>
    </row>
    <row r="237" spans="1:14" x14ac:dyDescent="0.3">
      <c r="A237">
        <v>100236</v>
      </c>
      <c r="B237">
        <v>4533857662</v>
      </c>
      <c r="C237" t="s">
        <v>249</v>
      </c>
      <c r="D237" t="s">
        <v>516</v>
      </c>
      <c r="E237" s="2">
        <v>45527</v>
      </c>
      <c r="F237" t="s">
        <v>517</v>
      </c>
      <c r="G237">
        <v>42295.68</v>
      </c>
      <c r="H237">
        <v>304942.48</v>
      </c>
      <c r="I237">
        <v>3.07</v>
      </c>
      <c r="J237">
        <v>532414.81000000006</v>
      </c>
      <c r="K237">
        <v>10</v>
      </c>
      <c r="L237">
        <v>40028.92</v>
      </c>
      <c r="M237" t="s">
        <v>523</v>
      </c>
      <c r="N237">
        <v>18</v>
      </c>
    </row>
    <row r="238" spans="1:14" x14ac:dyDescent="0.3">
      <c r="A238">
        <v>100237</v>
      </c>
      <c r="B238">
        <v>4196364710</v>
      </c>
      <c r="C238" t="s">
        <v>250</v>
      </c>
      <c r="D238" t="s">
        <v>514</v>
      </c>
      <c r="E238" s="2">
        <v>45528</v>
      </c>
      <c r="F238" t="s">
        <v>518</v>
      </c>
      <c r="G238">
        <v>5355.09</v>
      </c>
      <c r="H238">
        <v>447336.41</v>
      </c>
      <c r="I238">
        <v>8.68</v>
      </c>
      <c r="J238">
        <v>448308.08</v>
      </c>
      <c r="K238">
        <v>9</v>
      </c>
      <c r="L238">
        <v>12394.53</v>
      </c>
      <c r="M238" t="s">
        <v>519</v>
      </c>
      <c r="N238">
        <v>18</v>
      </c>
    </row>
    <row r="239" spans="1:14" x14ac:dyDescent="0.3">
      <c r="A239">
        <v>100238</v>
      </c>
      <c r="B239">
        <v>3925042050</v>
      </c>
      <c r="C239" t="s">
        <v>251</v>
      </c>
      <c r="D239" t="s">
        <v>515</v>
      </c>
      <c r="E239" s="2">
        <v>45529</v>
      </c>
      <c r="F239" t="s">
        <v>518</v>
      </c>
      <c r="G239">
        <v>24667.94</v>
      </c>
      <c r="H239">
        <v>227256.21</v>
      </c>
      <c r="I239">
        <v>7.03</v>
      </c>
      <c r="J239">
        <v>67217.84</v>
      </c>
      <c r="K239">
        <v>8</v>
      </c>
      <c r="L239">
        <v>12075.63</v>
      </c>
      <c r="M239" t="s">
        <v>519</v>
      </c>
      <c r="N239">
        <v>18</v>
      </c>
    </row>
    <row r="240" spans="1:14" x14ac:dyDescent="0.3">
      <c r="A240">
        <v>100239</v>
      </c>
      <c r="B240">
        <v>2020082523</v>
      </c>
      <c r="C240" t="s">
        <v>252</v>
      </c>
      <c r="D240" t="s">
        <v>514</v>
      </c>
      <c r="E240" s="2">
        <v>45530</v>
      </c>
      <c r="F240" t="s">
        <v>518</v>
      </c>
      <c r="G240">
        <v>7927.41</v>
      </c>
      <c r="H240">
        <v>307473.89</v>
      </c>
      <c r="I240">
        <v>4.21</v>
      </c>
      <c r="J240">
        <v>803120.21</v>
      </c>
      <c r="K240">
        <v>10</v>
      </c>
      <c r="L240">
        <v>28001.5</v>
      </c>
      <c r="M240" t="s">
        <v>522</v>
      </c>
      <c r="N240">
        <v>18</v>
      </c>
    </row>
    <row r="241" spans="1:14" x14ac:dyDescent="0.3">
      <c r="A241">
        <v>100240</v>
      </c>
      <c r="B241">
        <v>7013911544</v>
      </c>
      <c r="C241" t="s">
        <v>253</v>
      </c>
      <c r="D241" t="s">
        <v>516</v>
      </c>
      <c r="E241" s="2">
        <v>45531</v>
      </c>
      <c r="F241" t="s">
        <v>517</v>
      </c>
      <c r="G241">
        <v>16571.46</v>
      </c>
      <c r="H241">
        <v>319340.7</v>
      </c>
      <c r="I241">
        <v>11.62</v>
      </c>
      <c r="J241">
        <v>115593.61</v>
      </c>
      <c r="K241">
        <v>19</v>
      </c>
      <c r="L241">
        <v>26654.62</v>
      </c>
      <c r="M241" t="s">
        <v>521</v>
      </c>
      <c r="N241">
        <v>18</v>
      </c>
    </row>
    <row r="242" spans="1:14" x14ac:dyDescent="0.3">
      <c r="A242">
        <v>100241</v>
      </c>
      <c r="B242">
        <v>1356015512</v>
      </c>
      <c r="C242" t="s">
        <v>254</v>
      </c>
      <c r="D242" t="s">
        <v>516</v>
      </c>
      <c r="E242" s="2">
        <v>45532</v>
      </c>
      <c r="F242" t="s">
        <v>517</v>
      </c>
      <c r="G242">
        <v>36999.18</v>
      </c>
      <c r="H242">
        <v>299931.61</v>
      </c>
      <c r="I242">
        <v>7.77</v>
      </c>
      <c r="J242">
        <v>500542.27</v>
      </c>
      <c r="K242">
        <v>3</v>
      </c>
      <c r="L242">
        <v>14830.86</v>
      </c>
      <c r="M242" t="s">
        <v>523</v>
      </c>
      <c r="N242">
        <v>18</v>
      </c>
    </row>
    <row r="243" spans="1:14" x14ac:dyDescent="0.3">
      <c r="A243">
        <v>100242</v>
      </c>
      <c r="B243">
        <v>7169015412</v>
      </c>
      <c r="C243" t="s">
        <v>255</v>
      </c>
      <c r="D243" t="s">
        <v>514</v>
      </c>
      <c r="E243" s="2">
        <v>45533</v>
      </c>
      <c r="F243" t="s">
        <v>517</v>
      </c>
      <c r="G243">
        <v>24062.9</v>
      </c>
      <c r="H243">
        <v>354290.55</v>
      </c>
      <c r="I243">
        <v>5.18</v>
      </c>
      <c r="J243">
        <v>582644.38</v>
      </c>
      <c r="K243">
        <v>5</v>
      </c>
      <c r="L243">
        <v>15605.71</v>
      </c>
      <c r="M243" t="s">
        <v>522</v>
      </c>
      <c r="N243">
        <v>18</v>
      </c>
    </row>
    <row r="244" spans="1:14" x14ac:dyDescent="0.3">
      <c r="A244">
        <v>100243</v>
      </c>
      <c r="B244">
        <v>8740000313</v>
      </c>
      <c r="C244" t="s">
        <v>256</v>
      </c>
      <c r="D244" t="s">
        <v>515</v>
      </c>
      <c r="E244" s="2">
        <v>45534</v>
      </c>
      <c r="F244" t="s">
        <v>518</v>
      </c>
      <c r="G244">
        <v>19106.47</v>
      </c>
      <c r="H244">
        <v>126342.39999999999</v>
      </c>
      <c r="I244">
        <v>7.51</v>
      </c>
      <c r="J244">
        <v>647005.13</v>
      </c>
      <c r="K244">
        <v>3</v>
      </c>
      <c r="L244">
        <v>14614.41</v>
      </c>
      <c r="M244" t="s">
        <v>520</v>
      </c>
      <c r="N244">
        <v>18</v>
      </c>
    </row>
    <row r="245" spans="1:14" x14ac:dyDescent="0.3">
      <c r="A245">
        <v>100244</v>
      </c>
      <c r="B245">
        <v>2385927470</v>
      </c>
      <c r="C245" t="s">
        <v>257</v>
      </c>
      <c r="D245" t="s">
        <v>515</v>
      </c>
      <c r="E245" s="2">
        <v>45535</v>
      </c>
      <c r="F245" t="s">
        <v>518</v>
      </c>
      <c r="G245">
        <v>20026.580000000002</v>
      </c>
      <c r="H245">
        <v>261058.25</v>
      </c>
      <c r="I245">
        <v>9.1199999999999992</v>
      </c>
      <c r="J245">
        <v>704200.05</v>
      </c>
      <c r="K245">
        <v>16</v>
      </c>
      <c r="L245">
        <v>38804.089999999997</v>
      </c>
      <c r="M245" t="s">
        <v>521</v>
      </c>
      <c r="N245">
        <v>18</v>
      </c>
    </row>
    <row r="246" spans="1:14" x14ac:dyDescent="0.3">
      <c r="A246">
        <v>100245</v>
      </c>
      <c r="B246">
        <v>1186404943</v>
      </c>
      <c r="C246" t="s">
        <v>258</v>
      </c>
      <c r="D246" t="s">
        <v>516</v>
      </c>
      <c r="E246" s="2">
        <v>45536</v>
      </c>
      <c r="F246" t="s">
        <v>517</v>
      </c>
      <c r="G246">
        <v>23242.62</v>
      </c>
      <c r="H246">
        <v>61070.15</v>
      </c>
      <c r="I246">
        <v>3.69</v>
      </c>
      <c r="J246">
        <v>290608.76</v>
      </c>
      <c r="K246">
        <v>17</v>
      </c>
      <c r="L246">
        <v>32943.14</v>
      </c>
      <c r="M246" t="s">
        <v>523</v>
      </c>
      <c r="N246">
        <v>18</v>
      </c>
    </row>
    <row r="247" spans="1:14" x14ac:dyDescent="0.3">
      <c r="A247">
        <v>100246</v>
      </c>
      <c r="B247">
        <v>9266280148</v>
      </c>
      <c r="C247" t="s">
        <v>259</v>
      </c>
      <c r="D247" t="s">
        <v>516</v>
      </c>
      <c r="E247" s="2">
        <v>45537</v>
      </c>
      <c r="F247" t="s">
        <v>518</v>
      </c>
      <c r="G247">
        <v>39358.32</v>
      </c>
      <c r="H247">
        <v>198410.55</v>
      </c>
      <c r="I247">
        <v>5.47</v>
      </c>
      <c r="J247">
        <v>59479.839999999997</v>
      </c>
      <c r="K247">
        <v>15</v>
      </c>
      <c r="L247">
        <v>41788.44</v>
      </c>
      <c r="M247" t="s">
        <v>519</v>
      </c>
      <c r="N247">
        <v>18</v>
      </c>
    </row>
    <row r="248" spans="1:14" x14ac:dyDescent="0.3">
      <c r="A248">
        <v>100247</v>
      </c>
      <c r="B248">
        <v>2086584483</v>
      </c>
      <c r="C248" t="s">
        <v>260</v>
      </c>
      <c r="D248" t="s">
        <v>515</v>
      </c>
      <c r="E248" s="2">
        <v>45538</v>
      </c>
      <c r="F248" t="s">
        <v>517</v>
      </c>
      <c r="G248">
        <v>44658.19</v>
      </c>
      <c r="H248">
        <v>248956.86</v>
      </c>
      <c r="I248">
        <v>10.26</v>
      </c>
      <c r="J248">
        <v>737271.48</v>
      </c>
      <c r="K248">
        <v>3</v>
      </c>
      <c r="L248">
        <v>48798.18</v>
      </c>
      <c r="M248" t="s">
        <v>523</v>
      </c>
      <c r="N248">
        <v>18</v>
      </c>
    </row>
    <row r="249" spans="1:14" x14ac:dyDescent="0.3">
      <c r="A249">
        <v>100248</v>
      </c>
      <c r="B249">
        <v>6008857134</v>
      </c>
      <c r="C249" t="s">
        <v>261</v>
      </c>
      <c r="D249" t="s">
        <v>514</v>
      </c>
      <c r="E249" s="2">
        <v>45539</v>
      </c>
      <c r="F249" t="s">
        <v>517</v>
      </c>
      <c r="G249">
        <v>47789.07</v>
      </c>
      <c r="H249">
        <v>329589.89</v>
      </c>
      <c r="I249">
        <v>7.14</v>
      </c>
      <c r="J249">
        <v>558873.77</v>
      </c>
      <c r="K249">
        <v>12</v>
      </c>
      <c r="L249">
        <v>24234.05</v>
      </c>
      <c r="M249" t="s">
        <v>519</v>
      </c>
      <c r="N249">
        <v>18</v>
      </c>
    </row>
    <row r="250" spans="1:14" x14ac:dyDescent="0.3">
      <c r="A250">
        <v>100249</v>
      </c>
      <c r="B250">
        <v>1931188016</v>
      </c>
      <c r="C250" t="s">
        <v>262</v>
      </c>
      <c r="D250" t="s">
        <v>516</v>
      </c>
      <c r="E250" s="2">
        <v>45540</v>
      </c>
      <c r="F250" t="s">
        <v>518</v>
      </c>
      <c r="G250">
        <v>39451.72</v>
      </c>
      <c r="H250">
        <v>475760.22</v>
      </c>
      <c r="I250">
        <v>7.92</v>
      </c>
      <c r="J250">
        <v>844311.82</v>
      </c>
      <c r="K250">
        <v>9</v>
      </c>
      <c r="L250">
        <v>4268</v>
      </c>
      <c r="M250" t="s">
        <v>521</v>
      </c>
      <c r="N250">
        <v>18</v>
      </c>
    </row>
    <row r="251" spans="1:14" x14ac:dyDescent="0.3">
      <c r="A251">
        <v>100250</v>
      </c>
      <c r="B251">
        <v>6559809166</v>
      </c>
      <c r="C251" t="s">
        <v>263</v>
      </c>
      <c r="D251" t="s">
        <v>516</v>
      </c>
      <c r="E251" s="2">
        <v>45541</v>
      </c>
      <c r="F251" t="s">
        <v>518</v>
      </c>
      <c r="G251">
        <v>16112.64</v>
      </c>
      <c r="H251">
        <v>304319.02</v>
      </c>
      <c r="I251">
        <v>6.9</v>
      </c>
      <c r="J251">
        <v>830318.94</v>
      </c>
      <c r="K251">
        <v>12</v>
      </c>
      <c r="L251">
        <v>3356.52</v>
      </c>
      <c r="M251" t="s">
        <v>519</v>
      </c>
      <c r="N251">
        <v>18</v>
      </c>
    </row>
    <row r="252" spans="1:14" x14ac:dyDescent="0.3">
      <c r="A252">
        <v>100251</v>
      </c>
      <c r="B252">
        <v>3993270325</v>
      </c>
      <c r="C252" t="s">
        <v>264</v>
      </c>
      <c r="D252" t="s">
        <v>515</v>
      </c>
      <c r="E252" s="2">
        <v>45542</v>
      </c>
      <c r="F252" t="s">
        <v>518</v>
      </c>
      <c r="G252">
        <v>34562.67</v>
      </c>
      <c r="H252">
        <v>374361.02</v>
      </c>
      <c r="I252">
        <v>3.4</v>
      </c>
      <c r="J252">
        <v>851159.86</v>
      </c>
      <c r="K252">
        <v>15</v>
      </c>
      <c r="L252">
        <v>15487.59</v>
      </c>
      <c r="M252" t="s">
        <v>520</v>
      </c>
      <c r="N252">
        <v>18</v>
      </c>
    </row>
    <row r="253" spans="1:14" x14ac:dyDescent="0.3">
      <c r="A253">
        <v>100252</v>
      </c>
      <c r="B253">
        <v>6945101570</v>
      </c>
      <c r="C253" t="s">
        <v>265</v>
      </c>
      <c r="D253" t="s">
        <v>514</v>
      </c>
      <c r="E253" s="2">
        <v>45543</v>
      </c>
      <c r="F253" t="s">
        <v>518</v>
      </c>
      <c r="G253">
        <v>22161.35</v>
      </c>
      <c r="H253">
        <v>258070.37</v>
      </c>
      <c r="I253">
        <v>4.49</v>
      </c>
      <c r="J253">
        <v>510839.93</v>
      </c>
      <c r="K253">
        <v>2</v>
      </c>
      <c r="L253">
        <v>46694.68</v>
      </c>
      <c r="M253" t="s">
        <v>519</v>
      </c>
      <c r="N253">
        <v>18</v>
      </c>
    </row>
    <row r="254" spans="1:14" x14ac:dyDescent="0.3">
      <c r="A254">
        <v>100253</v>
      </c>
      <c r="B254">
        <v>4930987466</v>
      </c>
      <c r="C254" t="s">
        <v>266</v>
      </c>
      <c r="D254" t="s">
        <v>515</v>
      </c>
      <c r="E254" s="2">
        <v>45544</v>
      </c>
      <c r="F254" t="s">
        <v>517</v>
      </c>
      <c r="G254">
        <v>13106.2</v>
      </c>
      <c r="H254">
        <v>320710.98</v>
      </c>
      <c r="I254">
        <v>7.01</v>
      </c>
      <c r="J254">
        <v>366946.98</v>
      </c>
      <c r="K254">
        <v>18</v>
      </c>
      <c r="L254">
        <v>26637.439999999999</v>
      </c>
      <c r="M254" t="s">
        <v>520</v>
      </c>
      <c r="N254">
        <v>18</v>
      </c>
    </row>
    <row r="255" spans="1:14" x14ac:dyDescent="0.3">
      <c r="A255">
        <v>100254</v>
      </c>
      <c r="B255">
        <v>6962567303</v>
      </c>
      <c r="C255" t="s">
        <v>267</v>
      </c>
      <c r="D255" t="s">
        <v>514</v>
      </c>
      <c r="E255" s="2">
        <v>45545</v>
      </c>
      <c r="F255" t="s">
        <v>517</v>
      </c>
      <c r="G255">
        <v>42123.14</v>
      </c>
      <c r="H255">
        <v>44756.79</v>
      </c>
      <c r="I255">
        <v>4.88</v>
      </c>
      <c r="J255">
        <v>801980.29</v>
      </c>
      <c r="K255">
        <v>12</v>
      </c>
      <c r="L255">
        <v>14317.54</v>
      </c>
      <c r="M255" t="s">
        <v>521</v>
      </c>
      <c r="N255">
        <v>18</v>
      </c>
    </row>
    <row r="256" spans="1:14" x14ac:dyDescent="0.3">
      <c r="A256">
        <v>100255</v>
      </c>
      <c r="B256">
        <v>6280210235</v>
      </c>
      <c r="C256" t="s">
        <v>268</v>
      </c>
      <c r="D256" t="s">
        <v>514</v>
      </c>
      <c r="E256" s="2">
        <v>45546</v>
      </c>
      <c r="F256" t="s">
        <v>517</v>
      </c>
      <c r="G256">
        <v>2402.1</v>
      </c>
      <c r="H256">
        <v>134651.87</v>
      </c>
      <c r="I256">
        <v>3.45</v>
      </c>
      <c r="J256">
        <v>478729.41</v>
      </c>
      <c r="K256">
        <v>4</v>
      </c>
      <c r="L256">
        <v>20559.169999999998</v>
      </c>
      <c r="M256" t="s">
        <v>521</v>
      </c>
      <c r="N256">
        <v>18</v>
      </c>
    </row>
    <row r="257" spans="1:14" x14ac:dyDescent="0.3">
      <c r="A257">
        <v>100256</v>
      </c>
      <c r="B257">
        <v>6437162011</v>
      </c>
      <c r="C257" t="s">
        <v>269</v>
      </c>
      <c r="D257" t="s">
        <v>514</v>
      </c>
      <c r="E257" s="2">
        <v>45547</v>
      </c>
      <c r="F257" t="s">
        <v>517</v>
      </c>
      <c r="G257">
        <v>45137.22</v>
      </c>
      <c r="H257">
        <v>187308.02</v>
      </c>
      <c r="I257">
        <v>10.59</v>
      </c>
      <c r="J257">
        <v>224270.09</v>
      </c>
      <c r="K257">
        <v>16</v>
      </c>
      <c r="L257">
        <v>30331.16</v>
      </c>
      <c r="M257" t="s">
        <v>523</v>
      </c>
      <c r="N257">
        <v>18</v>
      </c>
    </row>
    <row r="258" spans="1:14" x14ac:dyDescent="0.3">
      <c r="A258">
        <v>100257</v>
      </c>
      <c r="B258">
        <v>2116476131</v>
      </c>
      <c r="C258" t="s">
        <v>270</v>
      </c>
      <c r="D258" t="s">
        <v>516</v>
      </c>
      <c r="E258" s="2">
        <v>45548</v>
      </c>
      <c r="F258" t="s">
        <v>517</v>
      </c>
      <c r="G258">
        <v>23343.13</v>
      </c>
      <c r="H258">
        <v>241521.74</v>
      </c>
      <c r="I258">
        <v>11.83</v>
      </c>
      <c r="J258">
        <v>862225.32</v>
      </c>
      <c r="K258">
        <v>16</v>
      </c>
      <c r="L258">
        <v>32994.53</v>
      </c>
      <c r="M258" t="s">
        <v>520</v>
      </c>
      <c r="N258">
        <v>18</v>
      </c>
    </row>
    <row r="259" spans="1:14" x14ac:dyDescent="0.3">
      <c r="A259">
        <v>100258</v>
      </c>
      <c r="B259">
        <v>5433763262</v>
      </c>
      <c r="C259" t="s">
        <v>271</v>
      </c>
      <c r="D259" t="s">
        <v>515</v>
      </c>
      <c r="E259" s="2">
        <v>45549</v>
      </c>
      <c r="F259" t="s">
        <v>518</v>
      </c>
      <c r="G259">
        <v>32041.47</v>
      </c>
      <c r="H259">
        <v>32367.89</v>
      </c>
      <c r="I259">
        <v>10.14</v>
      </c>
      <c r="J259">
        <v>888431.88</v>
      </c>
      <c r="K259">
        <v>1</v>
      </c>
      <c r="L259">
        <v>8542.06</v>
      </c>
      <c r="M259" t="s">
        <v>520</v>
      </c>
      <c r="N259">
        <v>18</v>
      </c>
    </row>
    <row r="260" spans="1:14" x14ac:dyDescent="0.3">
      <c r="A260">
        <v>100259</v>
      </c>
      <c r="B260">
        <v>2201575112</v>
      </c>
      <c r="C260" t="s">
        <v>272</v>
      </c>
      <c r="D260" t="s">
        <v>515</v>
      </c>
      <c r="E260" s="2">
        <v>45550</v>
      </c>
      <c r="F260" t="s">
        <v>517</v>
      </c>
      <c r="G260">
        <v>33138.019999999997</v>
      </c>
      <c r="H260">
        <v>78611.81</v>
      </c>
      <c r="I260">
        <v>10.68</v>
      </c>
      <c r="J260">
        <v>492994.27</v>
      </c>
      <c r="K260">
        <v>2</v>
      </c>
      <c r="L260">
        <v>48874.55</v>
      </c>
      <c r="M260" t="s">
        <v>522</v>
      </c>
      <c r="N260">
        <v>18</v>
      </c>
    </row>
    <row r="261" spans="1:14" x14ac:dyDescent="0.3">
      <c r="A261">
        <v>100260</v>
      </c>
      <c r="B261">
        <v>2766119412</v>
      </c>
      <c r="C261" t="s">
        <v>273</v>
      </c>
      <c r="D261" t="s">
        <v>514</v>
      </c>
      <c r="E261" s="2">
        <v>45551</v>
      </c>
      <c r="F261" t="s">
        <v>517</v>
      </c>
      <c r="G261">
        <v>44808.33</v>
      </c>
      <c r="H261">
        <v>145639.01</v>
      </c>
      <c r="I261">
        <v>5.18</v>
      </c>
      <c r="J261">
        <v>121914.74</v>
      </c>
      <c r="K261">
        <v>3</v>
      </c>
      <c r="L261">
        <v>27693.84</v>
      </c>
      <c r="M261" t="s">
        <v>522</v>
      </c>
      <c r="N261">
        <v>18</v>
      </c>
    </row>
    <row r="262" spans="1:14" x14ac:dyDescent="0.3">
      <c r="A262">
        <v>100261</v>
      </c>
      <c r="B262">
        <v>1572025740</v>
      </c>
      <c r="C262" t="s">
        <v>274</v>
      </c>
      <c r="D262" t="s">
        <v>516</v>
      </c>
      <c r="E262" s="2">
        <v>45552</v>
      </c>
      <c r="F262" t="s">
        <v>517</v>
      </c>
      <c r="G262">
        <v>32015.15</v>
      </c>
      <c r="H262">
        <v>486051.02</v>
      </c>
      <c r="I262">
        <v>11.65</v>
      </c>
      <c r="J262">
        <v>418434.79</v>
      </c>
      <c r="K262">
        <v>17</v>
      </c>
      <c r="L262">
        <v>7648.73</v>
      </c>
      <c r="M262" t="s">
        <v>522</v>
      </c>
      <c r="N262">
        <v>18</v>
      </c>
    </row>
    <row r="263" spans="1:14" x14ac:dyDescent="0.3">
      <c r="A263">
        <v>100262</v>
      </c>
      <c r="B263">
        <v>5622245410</v>
      </c>
      <c r="C263" t="s">
        <v>275</v>
      </c>
      <c r="D263" t="s">
        <v>516</v>
      </c>
      <c r="E263" s="2">
        <v>45553</v>
      </c>
      <c r="F263" t="s">
        <v>518</v>
      </c>
      <c r="G263">
        <v>30889.71</v>
      </c>
      <c r="H263">
        <v>172360.03</v>
      </c>
      <c r="I263">
        <v>4.7699999999999996</v>
      </c>
      <c r="J263">
        <v>813360.78</v>
      </c>
      <c r="K263">
        <v>1</v>
      </c>
      <c r="L263">
        <v>44788.13</v>
      </c>
      <c r="M263" t="s">
        <v>519</v>
      </c>
      <c r="N263">
        <v>18</v>
      </c>
    </row>
    <row r="264" spans="1:14" x14ac:dyDescent="0.3">
      <c r="A264">
        <v>100263</v>
      </c>
      <c r="B264">
        <v>5039553413</v>
      </c>
      <c r="C264" t="s">
        <v>276</v>
      </c>
      <c r="D264" t="s">
        <v>515</v>
      </c>
      <c r="E264" s="2">
        <v>45554</v>
      </c>
      <c r="F264" t="s">
        <v>518</v>
      </c>
      <c r="G264">
        <v>3799.28</v>
      </c>
      <c r="H264">
        <v>246200.12</v>
      </c>
      <c r="I264">
        <v>11.56</v>
      </c>
      <c r="J264">
        <v>906685.33</v>
      </c>
      <c r="K264">
        <v>6</v>
      </c>
      <c r="L264">
        <v>4657.28</v>
      </c>
      <c r="M264" t="s">
        <v>522</v>
      </c>
      <c r="N264">
        <v>18</v>
      </c>
    </row>
    <row r="265" spans="1:14" x14ac:dyDescent="0.3">
      <c r="A265">
        <v>100264</v>
      </c>
      <c r="B265">
        <v>7084418418</v>
      </c>
      <c r="C265" t="s">
        <v>277</v>
      </c>
      <c r="D265" t="s">
        <v>516</v>
      </c>
      <c r="E265" s="2">
        <v>45555</v>
      </c>
      <c r="F265" t="s">
        <v>518</v>
      </c>
      <c r="G265">
        <v>26161.200000000001</v>
      </c>
      <c r="H265">
        <v>106087.88</v>
      </c>
      <c r="I265">
        <v>11.95</v>
      </c>
      <c r="J265">
        <v>243299.11</v>
      </c>
      <c r="K265">
        <v>15</v>
      </c>
      <c r="L265">
        <v>45479.040000000001</v>
      </c>
      <c r="M265" t="s">
        <v>520</v>
      </c>
      <c r="N265">
        <v>18</v>
      </c>
    </row>
    <row r="266" spans="1:14" x14ac:dyDescent="0.3">
      <c r="A266">
        <v>100265</v>
      </c>
      <c r="B266">
        <v>5650369033</v>
      </c>
      <c r="C266" t="s">
        <v>278</v>
      </c>
      <c r="D266" t="s">
        <v>516</v>
      </c>
      <c r="E266" s="2">
        <v>45556</v>
      </c>
      <c r="F266" t="s">
        <v>518</v>
      </c>
      <c r="G266">
        <v>7933.37</v>
      </c>
      <c r="H266">
        <v>309282.23</v>
      </c>
      <c r="I266">
        <v>9.41</v>
      </c>
      <c r="J266">
        <v>113624.93</v>
      </c>
      <c r="K266">
        <v>14</v>
      </c>
      <c r="L266">
        <v>49831.72</v>
      </c>
      <c r="M266" t="s">
        <v>519</v>
      </c>
      <c r="N266">
        <v>18</v>
      </c>
    </row>
    <row r="267" spans="1:14" x14ac:dyDescent="0.3">
      <c r="A267">
        <v>100266</v>
      </c>
      <c r="B267">
        <v>7664019194</v>
      </c>
      <c r="C267" t="s">
        <v>279</v>
      </c>
      <c r="D267" t="s">
        <v>514</v>
      </c>
      <c r="E267" s="2">
        <v>45557</v>
      </c>
      <c r="F267" t="s">
        <v>517</v>
      </c>
      <c r="G267">
        <v>37002.97</v>
      </c>
      <c r="H267">
        <v>147534.78</v>
      </c>
      <c r="I267">
        <v>11.83</v>
      </c>
      <c r="J267">
        <v>883482.93</v>
      </c>
      <c r="K267">
        <v>15</v>
      </c>
      <c r="L267">
        <v>35321.160000000003</v>
      </c>
      <c r="M267" t="s">
        <v>521</v>
      </c>
      <c r="N267">
        <v>18</v>
      </c>
    </row>
    <row r="268" spans="1:14" x14ac:dyDescent="0.3">
      <c r="A268">
        <v>100267</v>
      </c>
      <c r="B268">
        <v>1707957764</v>
      </c>
      <c r="C268" t="s">
        <v>280</v>
      </c>
      <c r="D268" t="s">
        <v>516</v>
      </c>
      <c r="E268" s="2">
        <v>45558</v>
      </c>
      <c r="F268" t="s">
        <v>517</v>
      </c>
      <c r="G268">
        <v>25854.99</v>
      </c>
      <c r="H268">
        <v>111426.36</v>
      </c>
      <c r="I268">
        <v>8.1300000000000008</v>
      </c>
      <c r="J268">
        <v>419934.69</v>
      </c>
      <c r="K268">
        <v>14</v>
      </c>
      <c r="L268">
        <v>38751.910000000003</v>
      </c>
      <c r="M268" t="s">
        <v>523</v>
      </c>
      <c r="N268">
        <v>18</v>
      </c>
    </row>
    <row r="269" spans="1:14" x14ac:dyDescent="0.3">
      <c r="A269">
        <v>100268</v>
      </c>
      <c r="B269">
        <v>4339776373</v>
      </c>
      <c r="C269" t="s">
        <v>281</v>
      </c>
      <c r="D269" t="s">
        <v>514</v>
      </c>
      <c r="E269" s="2">
        <v>45559</v>
      </c>
      <c r="F269" t="s">
        <v>518</v>
      </c>
      <c r="G269">
        <v>34171.279999999999</v>
      </c>
      <c r="H269">
        <v>263120.59000000003</v>
      </c>
      <c r="I269">
        <v>5.34</v>
      </c>
      <c r="J269">
        <v>564672.92000000004</v>
      </c>
      <c r="K269">
        <v>5</v>
      </c>
      <c r="L269">
        <v>17527.84</v>
      </c>
      <c r="M269" t="s">
        <v>522</v>
      </c>
      <c r="N269">
        <v>18</v>
      </c>
    </row>
    <row r="270" spans="1:14" x14ac:dyDescent="0.3">
      <c r="A270">
        <v>100269</v>
      </c>
      <c r="B270">
        <v>3063173777</v>
      </c>
      <c r="C270" t="s">
        <v>282</v>
      </c>
      <c r="D270" t="s">
        <v>515</v>
      </c>
      <c r="E270" s="2">
        <v>45560</v>
      </c>
      <c r="F270" t="s">
        <v>518</v>
      </c>
      <c r="G270">
        <v>2562.81</v>
      </c>
      <c r="H270">
        <v>12697.84</v>
      </c>
      <c r="I270">
        <v>6.93</v>
      </c>
      <c r="J270">
        <v>969662.52</v>
      </c>
      <c r="K270">
        <v>6</v>
      </c>
      <c r="L270">
        <v>47137.27</v>
      </c>
      <c r="M270" t="s">
        <v>521</v>
      </c>
      <c r="N270">
        <v>18</v>
      </c>
    </row>
    <row r="271" spans="1:14" x14ac:dyDescent="0.3">
      <c r="A271">
        <v>100270</v>
      </c>
      <c r="B271">
        <v>2618081546</v>
      </c>
      <c r="C271" t="s">
        <v>283</v>
      </c>
      <c r="D271" t="s">
        <v>516</v>
      </c>
      <c r="E271" s="2">
        <v>45561</v>
      </c>
      <c r="F271" t="s">
        <v>517</v>
      </c>
      <c r="G271">
        <v>4697.2</v>
      </c>
      <c r="H271">
        <v>13755.38</v>
      </c>
      <c r="I271">
        <v>8.34</v>
      </c>
      <c r="J271">
        <v>113236.49</v>
      </c>
      <c r="K271">
        <v>17</v>
      </c>
      <c r="L271">
        <v>26955.98</v>
      </c>
      <c r="M271" t="s">
        <v>520</v>
      </c>
      <c r="N271">
        <v>18</v>
      </c>
    </row>
    <row r="272" spans="1:14" x14ac:dyDescent="0.3">
      <c r="A272">
        <v>100271</v>
      </c>
      <c r="B272">
        <v>4219414297</v>
      </c>
      <c r="C272" t="s">
        <v>284</v>
      </c>
      <c r="D272" t="s">
        <v>515</v>
      </c>
      <c r="E272" s="2">
        <v>45562</v>
      </c>
      <c r="F272" t="s">
        <v>517</v>
      </c>
      <c r="G272">
        <v>35958.01</v>
      </c>
      <c r="H272">
        <v>117343.72</v>
      </c>
      <c r="I272">
        <v>3.66</v>
      </c>
      <c r="J272">
        <v>665902.11</v>
      </c>
      <c r="K272">
        <v>11</v>
      </c>
      <c r="L272">
        <v>36887.03</v>
      </c>
      <c r="M272" t="s">
        <v>523</v>
      </c>
      <c r="N272">
        <v>18</v>
      </c>
    </row>
    <row r="273" spans="1:14" x14ac:dyDescent="0.3">
      <c r="A273">
        <v>100272</v>
      </c>
      <c r="B273">
        <v>8856200506</v>
      </c>
      <c r="C273" t="s">
        <v>285</v>
      </c>
      <c r="D273" t="s">
        <v>515</v>
      </c>
      <c r="E273" s="2">
        <v>45563</v>
      </c>
      <c r="F273" t="s">
        <v>518</v>
      </c>
      <c r="G273">
        <v>4068.17</v>
      </c>
      <c r="H273">
        <v>27993.47</v>
      </c>
      <c r="I273">
        <v>8.6</v>
      </c>
      <c r="J273">
        <v>120400.15</v>
      </c>
      <c r="K273">
        <v>16</v>
      </c>
      <c r="L273">
        <v>46281.279999999999</v>
      </c>
      <c r="M273" t="s">
        <v>521</v>
      </c>
      <c r="N273">
        <v>18</v>
      </c>
    </row>
    <row r="274" spans="1:14" x14ac:dyDescent="0.3">
      <c r="A274">
        <v>100273</v>
      </c>
      <c r="B274">
        <v>1272781216</v>
      </c>
      <c r="C274" t="s">
        <v>286</v>
      </c>
      <c r="D274" t="s">
        <v>516</v>
      </c>
      <c r="E274" s="2">
        <v>45564</v>
      </c>
      <c r="F274" t="s">
        <v>518</v>
      </c>
      <c r="G274">
        <v>4027.21</v>
      </c>
      <c r="H274">
        <v>62932.62</v>
      </c>
      <c r="I274">
        <v>11.83</v>
      </c>
      <c r="J274">
        <v>406695.48</v>
      </c>
      <c r="K274">
        <v>12</v>
      </c>
      <c r="L274">
        <v>48783.82</v>
      </c>
      <c r="M274" t="s">
        <v>523</v>
      </c>
      <c r="N274">
        <v>18</v>
      </c>
    </row>
    <row r="275" spans="1:14" x14ac:dyDescent="0.3">
      <c r="A275">
        <v>100274</v>
      </c>
      <c r="B275">
        <v>5453116008</v>
      </c>
      <c r="C275" t="s">
        <v>287</v>
      </c>
      <c r="D275" t="s">
        <v>516</v>
      </c>
      <c r="E275" s="2">
        <v>45565</v>
      </c>
      <c r="F275" t="s">
        <v>518</v>
      </c>
      <c r="G275">
        <v>1099.3699999999999</v>
      </c>
      <c r="H275">
        <v>176041.72</v>
      </c>
      <c r="I275">
        <v>4.71</v>
      </c>
      <c r="J275">
        <v>813623.82</v>
      </c>
      <c r="K275">
        <v>15</v>
      </c>
      <c r="L275">
        <v>41827.01</v>
      </c>
      <c r="M275" t="s">
        <v>522</v>
      </c>
      <c r="N275">
        <v>18</v>
      </c>
    </row>
    <row r="276" spans="1:14" x14ac:dyDescent="0.3">
      <c r="A276">
        <v>100275</v>
      </c>
      <c r="B276">
        <v>1058720660</v>
      </c>
      <c r="C276" t="s">
        <v>288</v>
      </c>
      <c r="D276" t="s">
        <v>515</v>
      </c>
      <c r="E276" s="2">
        <v>45566</v>
      </c>
      <c r="F276" t="s">
        <v>518</v>
      </c>
      <c r="G276">
        <v>47846.82</v>
      </c>
      <c r="H276">
        <v>403266.98</v>
      </c>
      <c r="I276">
        <v>10.130000000000001</v>
      </c>
      <c r="J276">
        <v>461798.62</v>
      </c>
      <c r="K276">
        <v>4</v>
      </c>
      <c r="L276">
        <v>15847.86</v>
      </c>
      <c r="M276" t="s">
        <v>520</v>
      </c>
      <c r="N276">
        <v>18</v>
      </c>
    </row>
    <row r="277" spans="1:14" x14ac:dyDescent="0.3">
      <c r="A277">
        <v>100276</v>
      </c>
      <c r="B277">
        <v>8265858011</v>
      </c>
      <c r="C277" t="s">
        <v>289</v>
      </c>
      <c r="D277" t="s">
        <v>516</v>
      </c>
      <c r="E277" s="2">
        <v>45567</v>
      </c>
      <c r="F277" t="s">
        <v>517</v>
      </c>
      <c r="G277">
        <v>37006.660000000003</v>
      </c>
      <c r="H277">
        <v>290303.84000000003</v>
      </c>
      <c r="I277">
        <v>11.17</v>
      </c>
      <c r="J277">
        <v>997323.24</v>
      </c>
      <c r="K277">
        <v>18</v>
      </c>
      <c r="L277">
        <v>48360.83</v>
      </c>
      <c r="M277" t="s">
        <v>523</v>
      </c>
      <c r="N277">
        <v>18</v>
      </c>
    </row>
    <row r="278" spans="1:14" x14ac:dyDescent="0.3">
      <c r="A278">
        <v>100277</v>
      </c>
      <c r="B278">
        <v>3294999748</v>
      </c>
      <c r="C278" t="s">
        <v>290</v>
      </c>
      <c r="D278" t="s">
        <v>514</v>
      </c>
      <c r="E278" s="2">
        <v>45568</v>
      </c>
      <c r="F278" t="s">
        <v>517</v>
      </c>
      <c r="G278">
        <v>17985.939999999999</v>
      </c>
      <c r="H278">
        <v>261207.19</v>
      </c>
      <c r="I278">
        <v>11.49</v>
      </c>
      <c r="J278">
        <v>581106.31999999995</v>
      </c>
      <c r="K278">
        <v>3</v>
      </c>
      <c r="L278">
        <v>31777.86</v>
      </c>
      <c r="M278" t="s">
        <v>521</v>
      </c>
      <c r="N278">
        <v>18</v>
      </c>
    </row>
    <row r="279" spans="1:14" x14ac:dyDescent="0.3">
      <c r="A279">
        <v>100278</v>
      </c>
      <c r="B279">
        <v>9216984322</v>
      </c>
      <c r="C279" t="s">
        <v>291</v>
      </c>
      <c r="D279" t="s">
        <v>514</v>
      </c>
      <c r="E279" s="2">
        <v>45569</v>
      </c>
      <c r="F279" t="s">
        <v>517</v>
      </c>
      <c r="G279">
        <v>15178.51</v>
      </c>
      <c r="H279">
        <v>153809.51999999999</v>
      </c>
      <c r="I279">
        <v>11.64</v>
      </c>
      <c r="J279">
        <v>355104.05</v>
      </c>
      <c r="K279">
        <v>8</v>
      </c>
      <c r="L279">
        <v>46601.48</v>
      </c>
      <c r="M279" t="s">
        <v>522</v>
      </c>
      <c r="N279">
        <v>18</v>
      </c>
    </row>
    <row r="280" spans="1:14" x14ac:dyDescent="0.3">
      <c r="A280">
        <v>100279</v>
      </c>
      <c r="B280">
        <v>3513198102</v>
      </c>
      <c r="C280" t="s">
        <v>292</v>
      </c>
      <c r="D280" t="s">
        <v>516</v>
      </c>
      <c r="E280" s="2">
        <v>45570</v>
      </c>
      <c r="F280" t="s">
        <v>518</v>
      </c>
      <c r="G280">
        <v>17810.310000000001</v>
      </c>
      <c r="H280">
        <v>466559.32</v>
      </c>
      <c r="I280">
        <v>7.69</v>
      </c>
      <c r="J280">
        <v>259105.76</v>
      </c>
      <c r="K280">
        <v>3</v>
      </c>
      <c r="L280">
        <v>34129.15</v>
      </c>
      <c r="M280" t="s">
        <v>522</v>
      </c>
      <c r="N280">
        <v>18</v>
      </c>
    </row>
    <row r="281" spans="1:14" x14ac:dyDescent="0.3">
      <c r="A281">
        <v>100280</v>
      </c>
      <c r="B281">
        <v>4118665268</v>
      </c>
      <c r="C281" t="s">
        <v>293</v>
      </c>
      <c r="D281" t="s">
        <v>515</v>
      </c>
      <c r="E281" s="2">
        <v>45571</v>
      </c>
      <c r="F281" t="s">
        <v>518</v>
      </c>
      <c r="G281">
        <v>38845.35</v>
      </c>
      <c r="H281">
        <v>204537.37</v>
      </c>
      <c r="I281">
        <v>11.8</v>
      </c>
      <c r="J281">
        <v>382994.51</v>
      </c>
      <c r="K281">
        <v>8</v>
      </c>
      <c r="L281">
        <v>16054.71</v>
      </c>
      <c r="M281" t="s">
        <v>521</v>
      </c>
      <c r="N281">
        <v>18</v>
      </c>
    </row>
    <row r="282" spans="1:14" x14ac:dyDescent="0.3">
      <c r="A282">
        <v>100281</v>
      </c>
      <c r="B282">
        <v>4251638985</v>
      </c>
      <c r="C282" t="s">
        <v>294</v>
      </c>
      <c r="D282" t="s">
        <v>516</v>
      </c>
      <c r="E282" s="2">
        <v>45572</v>
      </c>
      <c r="F282" t="s">
        <v>517</v>
      </c>
      <c r="G282">
        <v>33237.85</v>
      </c>
      <c r="H282">
        <v>52675.46</v>
      </c>
      <c r="I282">
        <v>9.82</v>
      </c>
      <c r="J282">
        <v>403906.61</v>
      </c>
      <c r="K282">
        <v>18</v>
      </c>
      <c r="L282">
        <v>19131.2</v>
      </c>
      <c r="M282" t="s">
        <v>521</v>
      </c>
      <c r="N282">
        <v>18</v>
      </c>
    </row>
    <row r="283" spans="1:14" x14ac:dyDescent="0.3">
      <c r="A283">
        <v>100282</v>
      </c>
      <c r="B283">
        <v>6917823058</v>
      </c>
      <c r="C283" t="s">
        <v>295</v>
      </c>
      <c r="D283" t="s">
        <v>516</v>
      </c>
      <c r="E283" s="2">
        <v>45573</v>
      </c>
      <c r="F283" t="s">
        <v>517</v>
      </c>
      <c r="G283">
        <v>9667.18</v>
      </c>
      <c r="H283">
        <v>312362.59000000003</v>
      </c>
      <c r="I283">
        <v>4.46</v>
      </c>
      <c r="J283">
        <v>115277.99</v>
      </c>
      <c r="K283">
        <v>10</v>
      </c>
      <c r="L283">
        <v>27973.119999999999</v>
      </c>
      <c r="M283" t="s">
        <v>523</v>
      </c>
      <c r="N283">
        <v>18</v>
      </c>
    </row>
    <row r="284" spans="1:14" x14ac:dyDescent="0.3">
      <c r="A284">
        <v>100283</v>
      </c>
      <c r="B284">
        <v>2035451476</v>
      </c>
      <c r="C284" t="s">
        <v>296</v>
      </c>
      <c r="D284" t="s">
        <v>515</v>
      </c>
      <c r="E284" s="2">
        <v>45574</v>
      </c>
      <c r="F284" t="s">
        <v>517</v>
      </c>
      <c r="G284">
        <v>9118.41</v>
      </c>
      <c r="H284">
        <v>65780.81</v>
      </c>
      <c r="I284">
        <v>7.29</v>
      </c>
      <c r="J284">
        <v>401095.49</v>
      </c>
      <c r="K284">
        <v>17</v>
      </c>
      <c r="L284">
        <v>39710.730000000003</v>
      </c>
      <c r="M284" t="s">
        <v>519</v>
      </c>
      <c r="N284">
        <v>18</v>
      </c>
    </row>
    <row r="285" spans="1:14" x14ac:dyDescent="0.3">
      <c r="A285">
        <v>100284</v>
      </c>
      <c r="B285">
        <v>6175630280</v>
      </c>
      <c r="C285" t="s">
        <v>297</v>
      </c>
      <c r="D285" t="s">
        <v>515</v>
      </c>
      <c r="E285" s="2">
        <v>45575</v>
      </c>
      <c r="F285" t="s">
        <v>517</v>
      </c>
      <c r="G285">
        <v>5370.58</v>
      </c>
      <c r="H285">
        <v>179159.34</v>
      </c>
      <c r="I285">
        <v>9.4600000000000009</v>
      </c>
      <c r="J285">
        <v>491026.59</v>
      </c>
      <c r="K285">
        <v>8</v>
      </c>
      <c r="L285">
        <v>16581.150000000001</v>
      </c>
      <c r="M285" t="s">
        <v>522</v>
      </c>
      <c r="N285">
        <v>18</v>
      </c>
    </row>
    <row r="286" spans="1:14" x14ac:dyDescent="0.3">
      <c r="A286">
        <v>100285</v>
      </c>
      <c r="B286">
        <v>6374904320</v>
      </c>
      <c r="C286" t="s">
        <v>298</v>
      </c>
      <c r="D286" t="s">
        <v>514</v>
      </c>
      <c r="E286" s="2">
        <v>45576</v>
      </c>
      <c r="F286" t="s">
        <v>518</v>
      </c>
      <c r="G286">
        <v>33184.980000000003</v>
      </c>
      <c r="H286">
        <v>258631.85</v>
      </c>
      <c r="I286">
        <v>5.23</v>
      </c>
      <c r="J286">
        <v>736600.86</v>
      </c>
      <c r="K286">
        <v>11</v>
      </c>
      <c r="L286">
        <v>29406.83</v>
      </c>
      <c r="M286" t="s">
        <v>523</v>
      </c>
      <c r="N286">
        <v>18</v>
      </c>
    </row>
    <row r="287" spans="1:14" x14ac:dyDescent="0.3">
      <c r="A287">
        <v>100286</v>
      </c>
      <c r="B287">
        <v>1890035971</v>
      </c>
      <c r="C287" t="s">
        <v>299</v>
      </c>
      <c r="D287" t="s">
        <v>515</v>
      </c>
      <c r="E287" s="2">
        <v>45577</v>
      </c>
      <c r="F287" t="s">
        <v>517</v>
      </c>
      <c r="G287">
        <v>38336.449999999997</v>
      </c>
      <c r="H287">
        <v>438369.04</v>
      </c>
      <c r="I287">
        <v>8.77</v>
      </c>
      <c r="J287">
        <v>673893.01</v>
      </c>
      <c r="K287">
        <v>5</v>
      </c>
      <c r="L287">
        <v>17935.62</v>
      </c>
      <c r="M287" t="s">
        <v>521</v>
      </c>
      <c r="N287">
        <v>18</v>
      </c>
    </row>
    <row r="288" spans="1:14" x14ac:dyDescent="0.3">
      <c r="A288">
        <v>100287</v>
      </c>
      <c r="B288">
        <v>9066896320</v>
      </c>
      <c r="C288" t="s">
        <v>300</v>
      </c>
      <c r="D288" t="s">
        <v>514</v>
      </c>
      <c r="E288" s="2">
        <v>45578</v>
      </c>
      <c r="F288" t="s">
        <v>517</v>
      </c>
      <c r="G288">
        <v>13619.8</v>
      </c>
      <c r="H288">
        <v>251837.82</v>
      </c>
      <c r="I288">
        <v>9</v>
      </c>
      <c r="J288">
        <v>723327.37</v>
      </c>
      <c r="K288">
        <v>13</v>
      </c>
      <c r="L288">
        <v>40972.699999999997</v>
      </c>
      <c r="M288" t="s">
        <v>523</v>
      </c>
      <c r="N288">
        <v>18</v>
      </c>
    </row>
    <row r="289" spans="1:14" x14ac:dyDescent="0.3">
      <c r="A289">
        <v>100288</v>
      </c>
      <c r="B289">
        <v>4251286503</v>
      </c>
      <c r="C289" t="s">
        <v>301</v>
      </c>
      <c r="D289" t="s">
        <v>515</v>
      </c>
      <c r="E289" s="2">
        <v>45579</v>
      </c>
      <c r="F289" t="s">
        <v>517</v>
      </c>
      <c r="G289">
        <v>1536.78</v>
      </c>
      <c r="H289">
        <v>354106.8</v>
      </c>
      <c r="I289">
        <v>4.46</v>
      </c>
      <c r="J289">
        <v>57945.5</v>
      </c>
      <c r="K289">
        <v>5</v>
      </c>
      <c r="L289">
        <v>23869.68</v>
      </c>
      <c r="M289" t="s">
        <v>521</v>
      </c>
      <c r="N289">
        <v>18</v>
      </c>
    </row>
    <row r="290" spans="1:14" x14ac:dyDescent="0.3">
      <c r="A290">
        <v>100289</v>
      </c>
      <c r="B290">
        <v>7434570489</v>
      </c>
      <c r="C290" t="s">
        <v>302</v>
      </c>
      <c r="D290" t="s">
        <v>516</v>
      </c>
      <c r="E290" s="2">
        <v>45580</v>
      </c>
      <c r="F290" t="s">
        <v>517</v>
      </c>
      <c r="G290">
        <v>4567.5</v>
      </c>
      <c r="H290">
        <v>496480.25</v>
      </c>
      <c r="I290">
        <v>8.09</v>
      </c>
      <c r="J290">
        <v>256784.03</v>
      </c>
      <c r="K290">
        <v>13</v>
      </c>
      <c r="L290">
        <v>4759.42</v>
      </c>
      <c r="M290" t="s">
        <v>520</v>
      </c>
      <c r="N290">
        <v>18</v>
      </c>
    </row>
    <row r="291" spans="1:14" x14ac:dyDescent="0.3">
      <c r="A291">
        <v>100290</v>
      </c>
      <c r="B291">
        <v>7340276661</v>
      </c>
      <c r="C291" t="s">
        <v>303</v>
      </c>
      <c r="D291" t="s">
        <v>514</v>
      </c>
      <c r="E291" s="2">
        <v>45581</v>
      </c>
      <c r="F291" t="s">
        <v>517</v>
      </c>
      <c r="G291">
        <v>48409.07</v>
      </c>
      <c r="H291">
        <v>74429.67</v>
      </c>
      <c r="I291">
        <v>9.94</v>
      </c>
      <c r="J291">
        <v>678600.07</v>
      </c>
      <c r="K291">
        <v>6</v>
      </c>
      <c r="L291">
        <v>9136.57</v>
      </c>
      <c r="M291" t="s">
        <v>521</v>
      </c>
      <c r="N291">
        <v>18</v>
      </c>
    </row>
    <row r="292" spans="1:14" x14ac:dyDescent="0.3">
      <c r="A292">
        <v>100291</v>
      </c>
      <c r="B292">
        <v>8865680642</v>
      </c>
      <c r="C292" t="s">
        <v>304</v>
      </c>
      <c r="D292" t="s">
        <v>514</v>
      </c>
      <c r="E292" s="2">
        <v>45582</v>
      </c>
      <c r="F292" t="s">
        <v>517</v>
      </c>
      <c r="G292">
        <v>15124.52</v>
      </c>
      <c r="H292">
        <v>144618.45000000001</v>
      </c>
      <c r="I292">
        <v>7.49</v>
      </c>
      <c r="J292">
        <v>509789.9</v>
      </c>
      <c r="K292">
        <v>5</v>
      </c>
      <c r="L292">
        <v>3994.13</v>
      </c>
      <c r="M292" t="s">
        <v>521</v>
      </c>
      <c r="N292">
        <v>18</v>
      </c>
    </row>
    <row r="293" spans="1:14" x14ac:dyDescent="0.3">
      <c r="A293">
        <v>100292</v>
      </c>
      <c r="B293">
        <v>9452382955</v>
      </c>
      <c r="C293" t="s">
        <v>305</v>
      </c>
      <c r="D293" t="s">
        <v>514</v>
      </c>
      <c r="E293" s="2">
        <v>45583</v>
      </c>
      <c r="F293" t="s">
        <v>517</v>
      </c>
      <c r="G293">
        <v>38576.550000000003</v>
      </c>
      <c r="H293">
        <v>203342.28</v>
      </c>
      <c r="I293">
        <v>3.11</v>
      </c>
      <c r="J293">
        <v>55047.8</v>
      </c>
      <c r="K293">
        <v>9</v>
      </c>
      <c r="L293">
        <v>25465.84</v>
      </c>
      <c r="M293" t="s">
        <v>521</v>
      </c>
      <c r="N293">
        <v>18</v>
      </c>
    </row>
    <row r="294" spans="1:14" x14ac:dyDescent="0.3">
      <c r="A294">
        <v>100293</v>
      </c>
      <c r="B294">
        <v>1379710429</v>
      </c>
      <c r="C294" t="s">
        <v>306</v>
      </c>
      <c r="D294" t="s">
        <v>516</v>
      </c>
      <c r="E294" s="2">
        <v>45584</v>
      </c>
      <c r="F294" t="s">
        <v>518</v>
      </c>
      <c r="G294">
        <v>31420.85</v>
      </c>
      <c r="H294">
        <v>216695.81</v>
      </c>
      <c r="I294">
        <v>3.08</v>
      </c>
      <c r="J294">
        <v>814269.91</v>
      </c>
      <c r="K294">
        <v>16</v>
      </c>
      <c r="L294">
        <v>6210.53</v>
      </c>
      <c r="M294" t="s">
        <v>519</v>
      </c>
      <c r="N294">
        <v>18</v>
      </c>
    </row>
    <row r="295" spans="1:14" x14ac:dyDescent="0.3">
      <c r="A295">
        <v>100294</v>
      </c>
      <c r="B295">
        <v>8695799034</v>
      </c>
      <c r="C295" t="s">
        <v>307</v>
      </c>
      <c r="D295" t="s">
        <v>516</v>
      </c>
      <c r="E295" s="2">
        <v>45585</v>
      </c>
      <c r="F295" t="s">
        <v>518</v>
      </c>
      <c r="G295">
        <v>19406.009999999998</v>
      </c>
      <c r="H295">
        <v>211400.33</v>
      </c>
      <c r="I295">
        <v>6.21</v>
      </c>
      <c r="J295">
        <v>784169.09</v>
      </c>
      <c r="K295">
        <v>2</v>
      </c>
      <c r="L295">
        <v>6592.86</v>
      </c>
      <c r="M295" t="s">
        <v>521</v>
      </c>
      <c r="N295">
        <v>18</v>
      </c>
    </row>
    <row r="296" spans="1:14" x14ac:dyDescent="0.3">
      <c r="A296">
        <v>100295</v>
      </c>
      <c r="B296">
        <v>3533841296</v>
      </c>
      <c r="C296" t="s">
        <v>308</v>
      </c>
      <c r="D296" t="s">
        <v>516</v>
      </c>
      <c r="E296" s="2">
        <v>45586</v>
      </c>
      <c r="F296" t="s">
        <v>518</v>
      </c>
      <c r="G296">
        <v>10681.52</v>
      </c>
      <c r="H296">
        <v>454729.39</v>
      </c>
      <c r="I296">
        <v>11.34</v>
      </c>
      <c r="J296">
        <v>570998.19999999995</v>
      </c>
      <c r="K296">
        <v>1</v>
      </c>
      <c r="L296">
        <v>47111.360000000001</v>
      </c>
      <c r="M296" t="s">
        <v>522</v>
      </c>
      <c r="N296">
        <v>18</v>
      </c>
    </row>
    <row r="297" spans="1:14" x14ac:dyDescent="0.3">
      <c r="A297">
        <v>100296</v>
      </c>
      <c r="B297">
        <v>3746036109</v>
      </c>
      <c r="C297" t="s">
        <v>309</v>
      </c>
      <c r="D297" t="s">
        <v>516</v>
      </c>
      <c r="E297" s="2">
        <v>45587</v>
      </c>
      <c r="F297" t="s">
        <v>518</v>
      </c>
      <c r="G297">
        <v>6508.63</v>
      </c>
      <c r="H297">
        <v>359876</v>
      </c>
      <c r="I297">
        <v>5.0599999999999996</v>
      </c>
      <c r="J297">
        <v>113140.16</v>
      </c>
      <c r="K297">
        <v>8</v>
      </c>
      <c r="L297">
        <v>43760.1</v>
      </c>
      <c r="M297" t="s">
        <v>522</v>
      </c>
      <c r="N297">
        <v>18</v>
      </c>
    </row>
    <row r="298" spans="1:14" x14ac:dyDescent="0.3">
      <c r="A298">
        <v>100297</v>
      </c>
      <c r="B298">
        <v>8752607818</v>
      </c>
      <c r="C298" t="s">
        <v>310</v>
      </c>
      <c r="D298" t="s">
        <v>516</v>
      </c>
      <c r="E298" s="2">
        <v>45588</v>
      </c>
      <c r="F298" t="s">
        <v>517</v>
      </c>
      <c r="G298">
        <v>30943.14</v>
      </c>
      <c r="H298">
        <v>307873.55</v>
      </c>
      <c r="I298">
        <v>8.7100000000000009</v>
      </c>
      <c r="J298">
        <v>778189.3</v>
      </c>
      <c r="K298">
        <v>19</v>
      </c>
      <c r="L298">
        <v>23152.240000000002</v>
      </c>
      <c r="M298" t="s">
        <v>523</v>
      </c>
      <c r="N298">
        <v>18</v>
      </c>
    </row>
    <row r="299" spans="1:14" x14ac:dyDescent="0.3">
      <c r="A299">
        <v>100298</v>
      </c>
      <c r="B299">
        <v>7946094783</v>
      </c>
      <c r="C299" t="s">
        <v>311</v>
      </c>
      <c r="D299" t="s">
        <v>514</v>
      </c>
      <c r="E299" s="2">
        <v>45589</v>
      </c>
      <c r="F299" t="s">
        <v>518</v>
      </c>
      <c r="G299">
        <v>38844.370000000003</v>
      </c>
      <c r="H299">
        <v>161592.63</v>
      </c>
      <c r="I299">
        <v>5</v>
      </c>
      <c r="J299">
        <v>604527.91</v>
      </c>
      <c r="K299">
        <v>11</v>
      </c>
      <c r="L299">
        <v>49304.46</v>
      </c>
      <c r="M299" t="s">
        <v>519</v>
      </c>
      <c r="N299">
        <v>18</v>
      </c>
    </row>
    <row r="300" spans="1:14" x14ac:dyDescent="0.3">
      <c r="A300">
        <v>100299</v>
      </c>
      <c r="B300">
        <v>7906684721</v>
      </c>
      <c r="C300" t="s">
        <v>312</v>
      </c>
      <c r="D300" t="s">
        <v>516</v>
      </c>
      <c r="E300" s="2">
        <v>45590</v>
      </c>
      <c r="F300" t="s">
        <v>518</v>
      </c>
      <c r="G300">
        <v>32373.26</v>
      </c>
      <c r="H300">
        <v>413657.29</v>
      </c>
      <c r="I300">
        <v>5.9</v>
      </c>
      <c r="J300">
        <v>792861.98</v>
      </c>
      <c r="K300">
        <v>12</v>
      </c>
      <c r="L300">
        <v>1009.14</v>
      </c>
      <c r="M300" t="s">
        <v>523</v>
      </c>
      <c r="N300">
        <v>18</v>
      </c>
    </row>
    <row r="301" spans="1:14" x14ac:dyDescent="0.3">
      <c r="A301">
        <v>100300</v>
      </c>
      <c r="B301">
        <v>8029333841</v>
      </c>
      <c r="C301" t="s">
        <v>313</v>
      </c>
      <c r="D301" t="s">
        <v>514</v>
      </c>
      <c r="E301" s="2">
        <v>45591</v>
      </c>
      <c r="F301" t="s">
        <v>517</v>
      </c>
      <c r="G301">
        <v>26749.96</v>
      </c>
      <c r="H301">
        <v>477979.65</v>
      </c>
      <c r="I301">
        <v>10.63</v>
      </c>
      <c r="J301">
        <v>764159.64</v>
      </c>
      <c r="K301">
        <v>12</v>
      </c>
      <c r="L301">
        <v>31084.99</v>
      </c>
      <c r="M301" t="s">
        <v>522</v>
      </c>
      <c r="N301">
        <v>18</v>
      </c>
    </row>
    <row r="302" spans="1:14" x14ac:dyDescent="0.3">
      <c r="A302">
        <v>100301</v>
      </c>
      <c r="B302">
        <v>7677882190</v>
      </c>
      <c r="C302" t="s">
        <v>314</v>
      </c>
      <c r="D302" t="s">
        <v>516</v>
      </c>
      <c r="E302" s="2">
        <v>45592</v>
      </c>
      <c r="F302" t="s">
        <v>517</v>
      </c>
      <c r="G302">
        <v>2576.59</v>
      </c>
      <c r="H302">
        <v>412387.16</v>
      </c>
      <c r="I302">
        <v>9.56</v>
      </c>
      <c r="J302">
        <v>812851.97</v>
      </c>
      <c r="K302">
        <v>7</v>
      </c>
      <c r="L302">
        <v>31204.98</v>
      </c>
      <c r="M302" t="s">
        <v>522</v>
      </c>
      <c r="N302">
        <v>18</v>
      </c>
    </row>
    <row r="303" spans="1:14" x14ac:dyDescent="0.3">
      <c r="A303">
        <v>100302</v>
      </c>
      <c r="B303">
        <v>9980785586</v>
      </c>
      <c r="C303" t="s">
        <v>315</v>
      </c>
      <c r="D303" t="s">
        <v>515</v>
      </c>
      <c r="E303" s="2">
        <v>45593</v>
      </c>
      <c r="F303" t="s">
        <v>518</v>
      </c>
      <c r="G303">
        <v>48440.19</v>
      </c>
      <c r="H303">
        <v>10766.9</v>
      </c>
      <c r="I303">
        <v>3.86</v>
      </c>
      <c r="J303">
        <v>542107.66</v>
      </c>
      <c r="K303">
        <v>13</v>
      </c>
      <c r="L303">
        <v>23414.71</v>
      </c>
      <c r="M303" t="s">
        <v>520</v>
      </c>
      <c r="N303">
        <v>18</v>
      </c>
    </row>
    <row r="304" spans="1:14" x14ac:dyDescent="0.3">
      <c r="A304">
        <v>100303</v>
      </c>
      <c r="B304">
        <v>7231612896</v>
      </c>
      <c r="C304" t="s">
        <v>316</v>
      </c>
      <c r="D304" t="s">
        <v>514</v>
      </c>
      <c r="E304" s="2">
        <v>45594</v>
      </c>
      <c r="F304" t="s">
        <v>518</v>
      </c>
      <c r="G304">
        <v>40036.35</v>
      </c>
      <c r="H304">
        <v>321836.67</v>
      </c>
      <c r="I304">
        <v>6.86</v>
      </c>
      <c r="J304">
        <v>183308.29</v>
      </c>
      <c r="K304">
        <v>8</v>
      </c>
      <c r="L304">
        <v>20450.45</v>
      </c>
      <c r="M304" t="s">
        <v>521</v>
      </c>
      <c r="N304">
        <v>18</v>
      </c>
    </row>
    <row r="305" spans="1:14" x14ac:dyDescent="0.3">
      <c r="A305">
        <v>100304</v>
      </c>
      <c r="B305">
        <v>4420820252</v>
      </c>
      <c r="C305" t="s">
        <v>317</v>
      </c>
      <c r="D305" t="s">
        <v>515</v>
      </c>
      <c r="E305" s="2">
        <v>45595</v>
      </c>
      <c r="F305" t="s">
        <v>517</v>
      </c>
      <c r="G305">
        <v>14994.69</v>
      </c>
      <c r="H305">
        <v>35056.339999999997</v>
      </c>
      <c r="I305">
        <v>3.26</v>
      </c>
      <c r="J305">
        <v>687599.6</v>
      </c>
      <c r="K305">
        <v>9</v>
      </c>
      <c r="L305">
        <v>23313.77</v>
      </c>
      <c r="M305" t="s">
        <v>522</v>
      </c>
      <c r="N305">
        <v>18</v>
      </c>
    </row>
    <row r="306" spans="1:14" x14ac:dyDescent="0.3">
      <c r="A306">
        <v>100305</v>
      </c>
      <c r="B306">
        <v>8597443856</v>
      </c>
      <c r="C306" t="s">
        <v>318</v>
      </c>
      <c r="D306" t="s">
        <v>514</v>
      </c>
      <c r="E306" s="2">
        <v>45596</v>
      </c>
      <c r="F306" t="s">
        <v>518</v>
      </c>
      <c r="G306">
        <v>49008.53</v>
      </c>
      <c r="H306">
        <v>136227.54</v>
      </c>
      <c r="I306">
        <v>7.33</v>
      </c>
      <c r="J306">
        <v>639450.1</v>
      </c>
      <c r="K306">
        <v>7</v>
      </c>
      <c r="L306">
        <v>21333.06</v>
      </c>
      <c r="M306" t="s">
        <v>523</v>
      </c>
      <c r="N306">
        <v>18</v>
      </c>
    </row>
    <row r="307" spans="1:14" x14ac:dyDescent="0.3">
      <c r="A307">
        <v>100306</v>
      </c>
      <c r="B307">
        <v>7961307397</v>
      </c>
      <c r="C307" t="s">
        <v>319</v>
      </c>
      <c r="D307" t="s">
        <v>515</v>
      </c>
      <c r="E307" s="2">
        <v>45597</v>
      </c>
      <c r="F307" t="s">
        <v>517</v>
      </c>
      <c r="G307">
        <v>30293.14</v>
      </c>
      <c r="H307">
        <v>39167.1</v>
      </c>
      <c r="I307">
        <v>8.9600000000000009</v>
      </c>
      <c r="J307">
        <v>755140.53</v>
      </c>
      <c r="K307">
        <v>15</v>
      </c>
      <c r="L307">
        <v>36794.129999999997</v>
      </c>
      <c r="M307" t="s">
        <v>523</v>
      </c>
      <c r="N307">
        <v>18</v>
      </c>
    </row>
    <row r="308" spans="1:14" x14ac:dyDescent="0.3">
      <c r="A308">
        <v>100307</v>
      </c>
      <c r="B308">
        <v>2492129217</v>
      </c>
      <c r="C308" t="s">
        <v>320</v>
      </c>
      <c r="D308" t="s">
        <v>516</v>
      </c>
      <c r="E308" s="2">
        <v>45598</v>
      </c>
      <c r="F308" t="s">
        <v>517</v>
      </c>
      <c r="G308">
        <v>29329.919999999998</v>
      </c>
      <c r="H308">
        <v>305859.77</v>
      </c>
      <c r="I308">
        <v>4.07</v>
      </c>
      <c r="J308">
        <v>211386.96</v>
      </c>
      <c r="K308">
        <v>2</v>
      </c>
      <c r="L308">
        <v>7632.42</v>
      </c>
      <c r="M308" t="s">
        <v>521</v>
      </c>
      <c r="N308">
        <v>18</v>
      </c>
    </row>
    <row r="309" spans="1:14" x14ac:dyDescent="0.3">
      <c r="A309">
        <v>100308</v>
      </c>
      <c r="B309">
        <v>1898209917</v>
      </c>
      <c r="C309" t="s">
        <v>321</v>
      </c>
      <c r="D309" t="s">
        <v>516</v>
      </c>
      <c r="E309" s="2">
        <v>45599</v>
      </c>
      <c r="F309" t="s">
        <v>517</v>
      </c>
      <c r="G309">
        <v>37529.620000000003</v>
      </c>
      <c r="H309">
        <v>346429.06</v>
      </c>
      <c r="I309">
        <v>5.6</v>
      </c>
      <c r="J309">
        <v>235226.44</v>
      </c>
      <c r="K309">
        <v>12</v>
      </c>
      <c r="L309">
        <v>10684.32</v>
      </c>
      <c r="M309" t="s">
        <v>521</v>
      </c>
      <c r="N309">
        <v>18</v>
      </c>
    </row>
    <row r="310" spans="1:14" x14ac:dyDescent="0.3">
      <c r="A310">
        <v>100309</v>
      </c>
      <c r="B310">
        <v>2976196758</v>
      </c>
      <c r="C310" t="s">
        <v>322</v>
      </c>
      <c r="D310" t="s">
        <v>516</v>
      </c>
      <c r="E310" s="2">
        <v>45600</v>
      </c>
      <c r="F310" t="s">
        <v>517</v>
      </c>
      <c r="G310">
        <v>40682.6</v>
      </c>
      <c r="H310">
        <v>66098.94</v>
      </c>
      <c r="I310">
        <v>6.58</v>
      </c>
      <c r="J310">
        <v>895889.04</v>
      </c>
      <c r="K310">
        <v>1</v>
      </c>
      <c r="L310">
        <v>9845.39</v>
      </c>
      <c r="M310" t="s">
        <v>520</v>
      </c>
      <c r="N310">
        <v>18</v>
      </c>
    </row>
    <row r="311" spans="1:14" x14ac:dyDescent="0.3">
      <c r="A311">
        <v>100310</v>
      </c>
      <c r="B311">
        <v>8291426703</v>
      </c>
      <c r="C311" t="s">
        <v>323</v>
      </c>
      <c r="D311" t="s">
        <v>514</v>
      </c>
      <c r="E311" s="2">
        <v>45601</v>
      </c>
      <c r="F311" t="s">
        <v>518</v>
      </c>
      <c r="G311">
        <v>32995.69</v>
      </c>
      <c r="H311">
        <v>198081.05</v>
      </c>
      <c r="I311">
        <v>11.28</v>
      </c>
      <c r="J311">
        <v>762478.91</v>
      </c>
      <c r="K311">
        <v>8</v>
      </c>
      <c r="L311">
        <v>13861.06</v>
      </c>
      <c r="M311" t="s">
        <v>519</v>
      </c>
      <c r="N311">
        <v>18</v>
      </c>
    </row>
    <row r="312" spans="1:14" x14ac:dyDescent="0.3">
      <c r="A312">
        <v>100311</v>
      </c>
      <c r="B312">
        <v>5179477151</v>
      </c>
      <c r="C312" t="s">
        <v>324</v>
      </c>
      <c r="D312" t="s">
        <v>515</v>
      </c>
      <c r="E312" s="2">
        <v>45602</v>
      </c>
      <c r="F312" t="s">
        <v>517</v>
      </c>
      <c r="G312">
        <v>6840.74</v>
      </c>
      <c r="H312">
        <v>233555.89</v>
      </c>
      <c r="I312">
        <v>11.94</v>
      </c>
      <c r="J312">
        <v>912817.06</v>
      </c>
      <c r="K312">
        <v>5</v>
      </c>
      <c r="L312">
        <v>26737.66</v>
      </c>
      <c r="M312" t="s">
        <v>523</v>
      </c>
      <c r="N312">
        <v>18</v>
      </c>
    </row>
    <row r="313" spans="1:14" x14ac:dyDescent="0.3">
      <c r="A313">
        <v>100312</v>
      </c>
      <c r="B313">
        <v>7880260156</v>
      </c>
      <c r="C313" t="s">
        <v>325</v>
      </c>
      <c r="D313" t="s">
        <v>516</v>
      </c>
      <c r="E313" s="2">
        <v>45603</v>
      </c>
      <c r="F313" t="s">
        <v>517</v>
      </c>
      <c r="G313">
        <v>17244.240000000002</v>
      </c>
      <c r="H313">
        <v>190835.98</v>
      </c>
      <c r="I313">
        <v>3.4</v>
      </c>
      <c r="J313">
        <v>770779.56</v>
      </c>
      <c r="K313">
        <v>15</v>
      </c>
      <c r="L313">
        <v>6449.23</v>
      </c>
      <c r="M313" t="s">
        <v>521</v>
      </c>
      <c r="N313">
        <v>18</v>
      </c>
    </row>
    <row r="314" spans="1:14" x14ac:dyDescent="0.3">
      <c r="A314">
        <v>100313</v>
      </c>
      <c r="B314">
        <v>6256391730</v>
      </c>
      <c r="C314" t="s">
        <v>326</v>
      </c>
      <c r="D314" t="s">
        <v>515</v>
      </c>
      <c r="E314" s="2">
        <v>45604</v>
      </c>
      <c r="F314" t="s">
        <v>518</v>
      </c>
      <c r="G314">
        <v>46440.14</v>
      </c>
      <c r="H314">
        <v>69302.25</v>
      </c>
      <c r="I314">
        <v>9.85</v>
      </c>
      <c r="J314">
        <v>617297.54</v>
      </c>
      <c r="K314">
        <v>1</v>
      </c>
      <c r="L314">
        <v>43540.3</v>
      </c>
      <c r="M314" t="s">
        <v>523</v>
      </c>
      <c r="N314">
        <v>18</v>
      </c>
    </row>
    <row r="315" spans="1:14" x14ac:dyDescent="0.3">
      <c r="A315">
        <v>100314</v>
      </c>
      <c r="B315">
        <v>2482118609</v>
      </c>
      <c r="C315" t="s">
        <v>327</v>
      </c>
      <c r="D315" t="s">
        <v>515</v>
      </c>
      <c r="E315" s="2">
        <v>45605</v>
      </c>
      <c r="F315" t="s">
        <v>517</v>
      </c>
      <c r="G315">
        <v>11618.47</v>
      </c>
      <c r="H315">
        <v>215284.42</v>
      </c>
      <c r="I315">
        <v>6.35</v>
      </c>
      <c r="J315">
        <v>671426.1</v>
      </c>
      <c r="K315">
        <v>1</v>
      </c>
      <c r="L315">
        <v>15570.72</v>
      </c>
      <c r="M315" t="s">
        <v>521</v>
      </c>
      <c r="N315">
        <v>18</v>
      </c>
    </row>
    <row r="316" spans="1:14" x14ac:dyDescent="0.3">
      <c r="A316">
        <v>100315</v>
      </c>
      <c r="B316">
        <v>1136600085</v>
      </c>
      <c r="C316" t="s">
        <v>328</v>
      </c>
      <c r="D316" t="s">
        <v>516</v>
      </c>
      <c r="E316" s="2">
        <v>45606</v>
      </c>
      <c r="F316" t="s">
        <v>518</v>
      </c>
      <c r="G316">
        <v>18922.27</v>
      </c>
      <c r="H316">
        <v>378077.24</v>
      </c>
      <c r="I316">
        <v>6.53</v>
      </c>
      <c r="J316">
        <v>894671.53</v>
      </c>
      <c r="K316">
        <v>10</v>
      </c>
      <c r="L316">
        <v>8964.36</v>
      </c>
      <c r="M316" t="s">
        <v>522</v>
      </c>
      <c r="N316">
        <v>18</v>
      </c>
    </row>
    <row r="317" spans="1:14" x14ac:dyDescent="0.3">
      <c r="A317">
        <v>100316</v>
      </c>
      <c r="B317">
        <v>3356714309</v>
      </c>
      <c r="C317" t="s">
        <v>329</v>
      </c>
      <c r="D317" t="s">
        <v>516</v>
      </c>
      <c r="E317" s="2">
        <v>45607</v>
      </c>
      <c r="F317" t="s">
        <v>518</v>
      </c>
      <c r="G317">
        <v>21887.81</v>
      </c>
      <c r="H317">
        <v>44793.760000000002</v>
      </c>
      <c r="I317">
        <v>9.7899999999999991</v>
      </c>
      <c r="J317">
        <v>599866.42000000004</v>
      </c>
      <c r="K317">
        <v>10</v>
      </c>
      <c r="L317">
        <v>34105.440000000002</v>
      </c>
      <c r="M317" t="s">
        <v>523</v>
      </c>
      <c r="N317">
        <v>18</v>
      </c>
    </row>
    <row r="318" spans="1:14" x14ac:dyDescent="0.3">
      <c r="A318">
        <v>100317</v>
      </c>
      <c r="B318">
        <v>3295331460</v>
      </c>
      <c r="C318" t="s">
        <v>330</v>
      </c>
      <c r="D318" t="s">
        <v>515</v>
      </c>
      <c r="E318" s="2">
        <v>45608</v>
      </c>
      <c r="F318" t="s">
        <v>518</v>
      </c>
      <c r="G318">
        <v>22250.55</v>
      </c>
      <c r="H318">
        <v>49288.21</v>
      </c>
      <c r="I318">
        <v>11.27</v>
      </c>
      <c r="J318">
        <v>650771.76</v>
      </c>
      <c r="K318">
        <v>15</v>
      </c>
      <c r="L318">
        <v>2866.23</v>
      </c>
      <c r="M318" t="s">
        <v>522</v>
      </c>
      <c r="N318">
        <v>18</v>
      </c>
    </row>
    <row r="319" spans="1:14" x14ac:dyDescent="0.3">
      <c r="A319">
        <v>100318</v>
      </c>
      <c r="B319">
        <v>2528971787</v>
      </c>
      <c r="C319" t="s">
        <v>331</v>
      </c>
      <c r="D319" t="s">
        <v>516</v>
      </c>
      <c r="E319" s="2">
        <v>45609</v>
      </c>
      <c r="F319" t="s">
        <v>517</v>
      </c>
      <c r="G319">
        <v>30840.51</v>
      </c>
      <c r="H319">
        <v>183837.93</v>
      </c>
      <c r="I319">
        <v>11.56</v>
      </c>
      <c r="J319">
        <v>198652.88</v>
      </c>
      <c r="K319">
        <v>17</v>
      </c>
      <c r="L319">
        <v>31378.46</v>
      </c>
      <c r="M319" t="s">
        <v>523</v>
      </c>
      <c r="N319">
        <v>18</v>
      </c>
    </row>
    <row r="320" spans="1:14" x14ac:dyDescent="0.3">
      <c r="A320">
        <v>100319</v>
      </c>
      <c r="B320">
        <v>9135601197</v>
      </c>
      <c r="C320" t="s">
        <v>332</v>
      </c>
      <c r="D320" t="s">
        <v>516</v>
      </c>
      <c r="E320" s="2">
        <v>45610</v>
      </c>
      <c r="F320" t="s">
        <v>518</v>
      </c>
      <c r="G320">
        <v>47182.25</v>
      </c>
      <c r="H320">
        <v>471445.6</v>
      </c>
      <c r="I320">
        <v>8.19</v>
      </c>
      <c r="J320">
        <v>500225.16</v>
      </c>
      <c r="K320">
        <v>6</v>
      </c>
      <c r="L320">
        <v>35211.72</v>
      </c>
      <c r="M320" t="s">
        <v>519</v>
      </c>
      <c r="N320">
        <v>18</v>
      </c>
    </row>
    <row r="321" spans="1:14" x14ac:dyDescent="0.3">
      <c r="A321">
        <v>100320</v>
      </c>
      <c r="B321">
        <v>5847937456</v>
      </c>
      <c r="C321" t="s">
        <v>333</v>
      </c>
      <c r="D321" t="s">
        <v>516</v>
      </c>
      <c r="E321" s="2">
        <v>45611</v>
      </c>
      <c r="F321" t="s">
        <v>518</v>
      </c>
      <c r="G321">
        <v>12414.29</v>
      </c>
      <c r="H321">
        <v>337600.6</v>
      </c>
      <c r="I321">
        <v>6.21</v>
      </c>
      <c r="J321">
        <v>730577.26</v>
      </c>
      <c r="K321">
        <v>3</v>
      </c>
      <c r="L321">
        <v>11530.91</v>
      </c>
      <c r="M321" t="s">
        <v>520</v>
      </c>
      <c r="N321">
        <v>18</v>
      </c>
    </row>
    <row r="322" spans="1:14" x14ac:dyDescent="0.3">
      <c r="A322">
        <v>100321</v>
      </c>
      <c r="B322">
        <v>6712733913</v>
      </c>
      <c r="C322" t="s">
        <v>334</v>
      </c>
      <c r="D322" t="s">
        <v>514</v>
      </c>
      <c r="E322" s="2">
        <v>45612</v>
      </c>
      <c r="F322" t="s">
        <v>517</v>
      </c>
      <c r="G322">
        <v>6514.32</v>
      </c>
      <c r="H322">
        <v>342548.28</v>
      </c>
      <c r="I322">
        <v>10.09</v>
      </c>
      <c r="J322">
        <v>307395.56</v>
      </c>
      <c r="K322">
        <v>13</v>
      </c>
      <c r="L322">
        <v>3056.24</v>
      </c>
      <c r="M322" t="s">
        <v>522</v>
      </c>
      <c r="N322">
        <v>18</v>
      </c>
    </row>
    <row r="323" spans="1:14" x14ac:dyDescent="0.3">
      <c r="A323">
        <v>100322</v>
      </c>
      <c r="B323">
        <v>2381187482</v>
      </c>
      <c r="C323" t="s">
        <v>335</v>
      </c>
      <c r="D323" t="s">
        <v>515</v>
      </c>
      <c r="E323" s="2">
        <v>45613</v>
      </c>
      <c r="F323" t="s">
        <v>518</v>
      </c>
      <c r="G323">
        <v>10274.790000000001</v>
      </c>
      <c r="H323">
        <v>187340.79999999999</v>
      </c>
      <c r="I323">
        <v>5.26</v>
      </c>
      <c r="J323">
        <v>242141.47</v>
      </c>
      <c r="K323">
        <v>16</v>
      </c>
      <c r="L323">
        <v>18818.62</v>
      </c>
      <c r="M323" t="s">
        <v>521</v>
      </c>
      <c r="N323">
        <v>18</v>
      </c>
    </row>
    <row r="324" spans="1:14" x14ac:dyDescent="0.3">
      <c r="A324">
        <v>100323</v>
      </c>
      <c r="B324">
        <v>1396385049</v>
      </c>
      <c r="C324" t="s">
        <v>336</v>
      </c>
      <c r="D324" t="s">
        <v>515</v>
      </c>
      <c r="E324" s="2">
        <v>45614</v>
      </c>
      <c r="F324" t="s">
        <v>518</v>
      </c>
      <c r="G324">
        <v>44402.78</v>
      </c>
      <c r="H324">
        <v>300893.78999999998</v>
      </c>
      <c r="I324">
        <v>8.08</v>
      </c>
      <c r="J324">
        <v>348135.47</v>
      </c>
      <c r="K324">
        <v>8</v>
      </c>
      <c r="L324">
        <v>5831.12</v>
      </c>
      <c r="M324" t="s">
        <v>519</v>
      </c>
      <c r="N324">
        <v>18</v>
      </c>
    </row>
    <row r="325" spans="1:14" x14ac:dyDescent="0.3">
      <c r="A325">
        <v>100324</v>
      </c>
      <c r="B325">
        <v>3066503726</v>
      </c>
      <c r="C325" t="s">
        <v>337</v>
      </c>
      <c r="D325" t="s">
        <v>514</v>
      </c>
      <c r="E325" s="2">
        <v>45615</v>
      </c>
      <c r="F325" t="s">
        <v>518</v>
      </c>
      <c r="G325">
        <v>32467.64</v>
      </c>
      <c r="H325">
        <v>14964.28</v>
      </c>
      <c r="I325">
        <v>6.23</v>
      </c>
      <c r="J325">
        <v>279425.59999999998</v>
      </c>
      <c r="K325">
        <v>15</v>
      </c>
      <c r="L325">
        <v>6707.41</v>
      </c>
      <c r="M325" t="s">
        <v>523</v>
      </c>
      <c r="N325">
        <v>18</v>
      </c>
    </row>
    <row r="326" spans="1:14" x14ac:dyDescent="0.3">
      <c r="A326">
        <v>100325</v>
      </c>
      <c r="B326">
        <v>3954012885</v>
      </c>
      <c r="C326" t="s">
        <v>338</v>
      </c>
      <c r="D326" t="s">
        <v>515</v>
      </c>
      <c r="E326" s="2">
        <v>45616</v>
      </c>
      <c r="F326" t="s">
        <v>518</v>
      </c>
      <c r="G326">
        <v>14652.39</v>
      </c>
      <c r="H326">
        <v>321687.06</v>
      </c>
      <c r="I326">
        <v>8.91</v>
      </c>
      <c r="J326">
        <v>254167.01</v>
      </c>
      <c r="K326">
        <v>17</v>
      </c>
      <c r="L326">
        <v>13458.8</v>
      </c>
      <c r="M326" t="s">
        <v>522</v>
      </c>
      <c r="N326">
        <v>18</v>
      </c>
    </row>
    <row r="327" spans="1:14" x14ac:dyDescent="0.3">
      <c r="A327">
        <v>100326</v>
      </c>
      <c r="B327">
        <v>5969181290</v>
      </c>
      <c r="C327" t="s">
        <v>339</v>
      </c>
      <c r="D327" t="s">
        <v>516</v>
      </c>
      <c r="E327" s="2">
        <v>45617</v>
      </c>
      <c r="F327" t="s">
        <v>518</v>
      </c>
      <c r="G327">
        <v>40889.370000000003</v>
      </c>
      <c r="H327">
        <v>457510.6</v>
      </c>
      <c r="I327">
        <v>5.16</v>
      </c>
      <c r="J327">
        <v>453608.3</v>
      </c>
      <c r="K327">
        <v>17</v>
      </c>
      <c r="L327">
        <v>15477.93</v>
      </c>
      <c r="M327" t="s">
        <v>523</v>
      </c>
      <c r="N327">
        <v>18</v>
      </c>
    </row>
    <row r="328" spans="1:14" x14ac:dyDescent="0.3">
      <c r="A328">
        <v>100327</v>
      </c>
      <c r="B328">
        <v>1011145552</v>
      </c>
      <c r="C328" t="s">
        <v>340</v>
      </c>
      <c r="D328" t="s">
        <v>515</v>
      </c>
      <c r="E328" s="2">
        <v>45618</v>
      </c>
      <c r="F328" t="s">
        <v>517</v>
      </c>
      <c r="G328">
        <v>43137.81</v>
      </c>
      <c r="H328">
        <v>310161</v>
      </c>
      <c r="I328">
        <v>4.72</v>
      </c>
      <c r="J328">
        <v>912446.59</v>
      </c>
      <c r="K328">
        <v>13</v>
      </c>
      <c r="L328">
        <v>26968.55</v>
      </c>
      <c r="M328" t="s">
        <v>523</v>
      </c>
      <c r="N328">
        <v>18</v>
      </c>
    </row>
    <row r="329" spans="1:14" x14ac:dyDescent="0.3">
      <c r="A329">
        <v>100328</v>
      </c>
      <c r="B329">
        <v>9024292131</v>
      </c>
      <c r="C329" t="s">
        <v>341</v>
      </c>
      <c r="D329" t="s">
        <v>516</v>
      </c>
      <c r="E329" s="2">
        <v>45619</v>
      </c>
      <c r="F329" t="s">
        <v>518</v>
      </c>
      <c r="G329">
        <v>42402.46</v>
      </c>
      <c r="H329">
        <v>438112.31</v>
      </c>
      <c r="I329">
        <v>11.26</v>
      </c>
      <c r="J329">
        <v>531706.66</v>
      </c>
      <c r="K329">
        <v>17</v>
      </c>
      <c r="L329">
        <v>34241.199999999997</v>
      </c>
      <c r="M329" t="s">
        <v>523</v>
      </c>
      <c r="N329">
        <v>18</v>
      </c>
    </row>
    <row r="330" spans="1:14" x14ac:dyDescent="0.3">
      <c r="A330">
        <v>100329</v>
      </c>
      <c r="B330">
        <v>1362997767</v>
      </c>
      <c r="C330" t="s">
        <v>342</v>
      </c>
      <c r="D330" t="s">
        <v>514</v>
      </c>
      <c r="E330" s="2">
        <v>45620</v>
      </c>
      <c r="F330" t="s">
        <v>518</v>
      </c>
      <c r="G330">
        <v>45986.86</v>
      </c>
      <c r="H330">
        <v>364746.8</v>
      </c>
      <c r="I330">
        <v>3.92</v>
      </c>
      <c r="J330">
        <v>228524.36</v>
      </c>
      <c r="K330">
        <v>6</v>
      </c>
      <c r="L330">
        <v>30045.78</v>
      </c>
      <c r="M330" t="s">
        <v>520</v>
      </c>
      <c r="N330">
        <v>18</v>
      </c>
    </row>
    <row r="331" spans="1:14" x14ac:dyDescent="0.3">
      <c r="A331">
        <v>100330</v>
      </c>
      <c r="B331">
        <v>3565289826</v>
      </c>
      <c r="C331" t="s">
        <v>343</v>
      </c>
      <c r="D331" t="s">
        <v>516</v>
      </c>
      <c r="E331" s="2">
        <v>45621</v>
      </c>
      <c r="F331" t="s">
        <v>517</v>
      </c>
      <c r="G331">
        <v>12985.93</v>
      </c>
      <c r="H331">
        <v>69073.62</v>
      </c>
      <c r="I331">
        <v>7.55</v>
      </c>
      <c r="J331">
        <v>123123.09</v>
      </c>
      <c r="K331">
        <v>17</v>
      </c>
      <c r="L331">
        <v>8269.66</v>
      </c>
      <c r="M331" t="s">
        <v>520</v>
      </c>
      <c r="N331">
        <v>18</v>
      </c>
    </row>
    <row r="332" spans="1:14" x14ac:dyDescent="0.3">
      <c r="A332">
        <v>100331</v>
      </c>
      <c r="B332">
        <v>5235941555</v>
      </c>
      <c r="C332" t="s">
        <v>344</v>
      </c>
      <c r="D332" t="s">
        <v>515</v>
      </c>
      <c r="E332" s="2">
        <v>45622</v>
      </c>
      <c r="F332" t="s">
        <v>517</v>
      </c>
      <c r="G332">
        <v>37874.58</v>
      </c>
      <c r="H332">
        <v>452202.12</v>
      </c>
      <c r="I332">
        <v>4.99</v>
      </c>
      <c r="J332">
        <v>711348.34</v>
      </c>
      <c r="K332">
        <v>16</v>
      </c>
      <c r="L332">
        <v>9432.2199999999993</v>
      </c>
      <c r="M332" t="s">
        <v>521</v>
      </c>
      <c r="N332">
        <v>18</v>
      </c>
    </row>
    <row r="333" spans="1:14" x14ac:dyDescent="0.3">
      <c r="A333">
        <v>100332</v>
      </c>
      <c r="B333">
        <v>6309080077</v>
      </c>
      <c r="C333" t="s">
        <v>345</v>
      </c>
      <c r="D333" t="s">
        <v>515</v>
      </c>
      <c r="E333" s="2">
        <v>45623</v>
      </c>
      <c r="F333" t="s">
        <v>517</v>
      </c>
      <c r="G333">
        <v>23296.71</v>
      </c>
      <c r="H333">
        <v>42557.48</v>
      </c>
      <c r="I333">
        <v>3.35</v>
      </c>
      <c r="J333">
        <v>413658.83</v>
      </c>
      <c r="K333">
        <v>14</v>
      </c>
      <c r="L333">
        <v>44059.69</v>
      </c>
      <c r="M333" t="s">
        <v>522</v>
      </c>
      <c r="N333">
        <v>18</v>
      </c>
    </row>
    <row r="334" spans="1:14" x14ac:dyDescent="0.3">
      <c r="A334">
        <v>100333</v>
      </c>
      <c r="B334">
        <v>8558950939</v>
      </c>
      <c r="C334" t="s">
        <v>346</v>
      </c>
      <c r="D334" t="s">
        <v>515</v>
      </c>
      <c r="E334" s="2">
        <v>45624</v>
      </c>
      <c r="F334" t="s">
        <v>518</v>
      </c>
      <c r="G334">
        <v>42178.93</v>
      </c>
      <c r="H334">
        <v>271644.06</v>
      </c>
      <c r="I334">
        <v>3.32</v>
      </c>
      <c r="J334">
        <v>830739.4</v>
      </c>
      <c r="K334">
        <v>13</v>
      </c>
      <c r="L334">
        <v>28359.26</v>
      </c>
      <c r="M334" t="s">
        <v>519</v>
      </c>
      <c r="N334">
        <v>18</v>
      </c>
    </row>
    <row r="335" spans="1:14" x14ac:dyDescent="0.3">
      <c r="A335">
        <v>100334</v>
      </c>
      <c r="B335">
        <v>1267754137</v>
      </c>
      <c r="C335" t="s">
        <v>347</v>
      </c>
      <c r="D335" t="s">
        <v>514</v>
      </c>
      <c r="E335" s="2">
        <v>45625</v>
      </c>
      <c r="F335" t="s">
        <v>517</v>
      </c>
      <c r="G335">
        <v>36560.29</v>
      </c>
      <c r="H335">
        <v>79647.19</v>
      </c>
      <c r="I335">
        <v>4.58</v>
      </c>
      <c r="J335">
        <v>676535.23</v>
      </c>
      <c r="K335">
        <v>6</v>
      </c>
      <c r="L335">
        <v>43626.95</v>
      </c>
      <c r="M335" t="s">
        <v>519</v>
      </c>
      <c r="N335">
        <v>18</v>
      </c>
    </row>
    <row r="336" spans="1:14" x14ac:dyDescent="0.3">
      <c r="A336">
        <v>100335</v>
      </c>
      <c r="B336">
        <v>5929501882</v>
      </c>
      <c r="C336" t="s">
        <v>348</v>
      </c>
      <c r="D336" t="s">
        <v>514</v>
      </c>
      <c r="E336" s="2">
        <v>45626</v>
      </c>
      <c r="F336" t="s">
        <v>518</v>
      </c>
      <c r="G336">
        <v>38934.15</v>
      </c>
      <c r="H336">
        <v>15736.24</v>
      </c>
      <c r="I336">
        <v>10.8</v>
      </c>
      <c r="J336">
        <v>806429.38</v>
      </c>
      <c r="K336">
        <v>3</v>
      </c>
      <c r="L336">
        <v>19205.78</v>
      </c>
      <c r="M336" t="s">
        <v>519</v>
      </c>
      <c r="N336">
        <v>18</v>
      </c>
    </row>
    <row r="337" spans="1:14" x14ac:dyDescent="0.3">
      <c r="A337">
        <v>100336</v>
      </c>
      <c r="B337">
        <v>8514544490</v>
      </c>
      <c r="C337" t="s">
        <v>349</v>
      </c>
      <c r="D337" t="s">
        <v>515</v>
      </c>
      <c r="E337" s="2">
        <v>45627</v>
      </c>
      <c r="F337" t="s">
        <v>518</v>
      </c>
      <c r="G337">
        <v>32980.01</v>
      </c>
      <c r="H337">
        <v>216796.79</v>
      </c>
      <c r="I337">
        <v>5.54</v>
      </c>
      <c r="J337">
        <v>308348.74</v>
      </c>
      <c r="K337">
        <v>14</v>
      </c>
      <c r="L337">
        <v>31105.599999999999</v>
      </c>
      <c r="M337" t="s">
        <v>523</v>
      </c>
      <c r="N337">
        <v>18</v>
      </c>
    </row>
    <row r="338" spans="1:14" x14ac:dyDescent="0.3">
      <c r="A338">
        <v>100337</v>
      </c>
      <c r="B338">
        <v>9720811515</v>
      </c>
      <c r="C338" t="s">
        <v>350</v>
      </c>
      <c r="D338" t="s">
        <v>516</v>
      </c>
      <c r="E338" s="2">
        <v>45628</v>
      </c>
      <c r="F338" t="s">
        <v>517</v>
      </c>
      <c r="G338">
        <v>9282.7199999999993</v>
      </c>
      <c r="H338">
        <v>154569.95000000001</v>
      </c>
      <c r="I338">
        <v>11.55</v>
      </c>
      <c r="J338">
        <v>707740.98</v>
      </c>
      <c r="K338">
        <v>14</v>
      </c>
      <c r="L338">
        <v>26659.51</v>
      </c>
      <c r="M338" t="s">
        <v>520</v>
      </c>
      <c r="N338">
        <v>18</v>
      </c>
    </row>
    <row r="339" spans="1:14" x14ac:dyDescent="0.3">
      <c r="A339">
        <v>100338</v>
      </c>
      <c r="B339">
        <v>4724659985</v>
      </c>
      <c r="C339" t="s">
        <v>351</v>
      </c>
      <c r="D339" t="s">
        <v>514</v>
      </c>
      <c r="E339" s="2">
        <v>45629</v>
      </c>
      <c r="F339" t="s">
        <v>517</v>
      </c>
      <c r="G339">
        <v>27478.83</v>
      </c>
      <c r="H339">
        <v>248140.24</v>
      </c>
      <c r="I339">
        <v>8.23</v>
      </c>
      <c r="J339">
        <v>300858.89</v>
      </c>
      <c r="K339">
        <v>15</v>
      </c>
      <c r="L339">
        <v>16637.05</v>
      </c>
      <c r="M339" t="s">
        <v>522</v>
      </c>
      <c r="N339">
        <v>18</v>
      </c>
    </row>
    <row r="340" spans="1:14" x14ac:dyDescent="0.3">
      <c r="A340">
        <v>100339</v>
      </c>
      <c r="B340">
        <v>6816015653</v>
      </c>
      <c r="C340" t="s">
        <v>352</v>
      </c>
      <c r="D340" t="s">
        <v>515</v>
      </c>
      <c r="E340" s="2">
        <v>45630</v>
      </c>
      <c r="F340" t="s">
        <v>518</v>
      </c>
      <c r="G340">
        <v>49241.15</v>
      </c>
      <c r="H340">
        <v>292827.94</v>
      </c>
      <c r="I340">
        <v>6.93</v>
      </c>
      <c r="J340">
        <v>942115.06</v>
      </c>
      <c r="K340">
        <v>8</v>
      </c>
      <c r="L340">
        <v>24025.85</v>
      </c>
      <c r="M340" t="s">
        <v>523</v>
      </c>
      <c r="N340">
        <v>18</v>
      </c>
    </row>
    <row r="341" spans="1:14" x14ac:dyDescent="0.3">
      <c r="A341">
        <v>100340</v>
      </c>
      <c r="B341">
        <v>4167131254</v>
      </c>
      <c r="C341" t="s">
        <v>353</v>
      </c>
      <c r="D341" t="s">
        <v>515</v>
      </c>
      <c r="E341" s="2">
        <v>45631</v>
      </c>
      <c r="F341" t="s">
        <v>517</v>
      </c>
      <c r="G341">
        <v>46900.71</v>
      </c>
      <c r="H341">
        <v>31432.15</v>
      </c>
      <c r="I341">
        <v>8.2200000000000006</v>
      </c>
      <c r="J341">
        <v>654555.56999999995</v>
      </c>
      <c r="K341">
        <v>15</v>
      </c>
      <c r="L341">
        <v>25622.05</v>
      </c>
      <c r="M341" t="s">
        <v>520</v>
      </c>
      <c r="N341">
        <v>18</v>
      </c>
    </row>
    <row r="342" spans="1:14" x14ac:dyDescent="0.3">
      <c r="A342">
        <v>100341</v>
      </c>
      <c r="B342">
        <v>1782903323</v>
      </c>
      <c r="C342" t="s">
        <v>354</v>
      </c>
      <c r="D342" t="s">
        <v>514</v>
      </c>
      <c r="E342" s="2">
        <v>45632</v>
      </c>
      <c r="F342" t="s">
        <v>518</v>
      </c>
      <c r="G342">
        <v>2637.1</v>
      </c>
      <c r="H342">
        <v>70271.61</v>
      </c>
      <c r="I342">
        <v>7.65</v>
      </c>
      <c r="J342">
        <v>358286.21</v>
      </c>
      <c r="K342">
        <v>13</v>
      </c>
      <c r="L342">
        <v>10837.78</v>
      </c>
      <c r="M342" t="s">
        <v>520</v>
      </c>
      <c r="N342">
        <v>18</v>
      </c>
    </row>
    <row r="343" spans="1:14" x14ac:dyDescent="0.3">
      <c r="A343">
        <v>100342</v>
      </c>
      <c r="B343">
        <v>7717178918</v>
      </c>
      <c r="C343" t="s">
        <v>355</v>
      </c>
      <c r="D343" t="s">
        <v>514</v>
      </c>
      <c r="E343" s="2">
        <v>45633</v>
      </c>
      <c r="F343" t="s">
        <v>517</v>
      </c>
      <c r="G343">
        <v>8658.33</v>
      </c>
      <c r="H343">
        <v>283734.77</v>
      </c>
      <c r="I343">
        <v>9.83</v>
      </c>
      <c r="J343">
        <v>306036.27</v>
      </c>
      <c r="K343">
        <v>17</v>
      </c>
      <c r="L343">
        <v>16435.509999999998</v>
      </c>
      <c r="M343" t="s">
        <v>522</v>
      </c>
      <c r="N343">
        <v>18</v>
      </c>
    </row>
    <row r="344" spans="1:14" x14ac:dyDescent="0.3">
      <c r="A344">
        <v>100343</v>
      </c>
      <c r="B344">
        <v>4610821904</v>
      </c>
      <c r="C344" t="s">
        <v>356</v>
      </c>
      <c r="D344" t="s">
        <v>514</v>
      </c>
      <c r="E344" s="2">
        <v>45634</v>
      </c>
      <c r="F344" t="s">
        <v>517</v>
      </c>
      <c r="G344">
        <v>7020.57</v>
      </c>
      <c r="H344">
        <v>178152</v>
      </c>
      <c r="I344">
        <v>5.54</v>
      </c>
      <c r="J344">
        <v>231380.26</v>
      </c>
      <c r="K344">
        <v>3</v>
      </c>
      <c r="L344">
        <v>39779.08</v>
      </c>
      <c r="M344" t="s">
        <v>522</v>
      </c>
      <c r="N344">
        <v>18</v>
      </c>
    </row>
    <row r="345" spans="1:14" x14ac:dyDescent="0.3">
      <c r="A345">
        <v>100344</v>
      </c>
      <c r="B345">
        <v>9973064277</v>
      </c>
      <c r="C345" t="s">
        <v>357</v>
      </c>
      <c r="D345" t="s">
        <v>516</v>
      </c>
      <c r="E345" s="2">
        <v>45635</v>
      </c>
      <c r="F345" t="s">
        <v>517</v>
      </c>
      <c r="G345">
        <v>36436.01</v>
      </c>
      <c r="H345">
        <v>367295.01</v>
      </c>
      <c r="I345">
        <v>6.18</v>
      </c>
      <c r="J345">
        <v>709908.91</v>
      </c>
      <c r="K345">
        <v>6</v>
      </c>
      <c r="L345">
        <v>45873.62</v>
      </c>
      <c r="M345" t="s">
        <v>522</v>
      </c>
      <c r="N345">
        <v>18</v>
      </c>
    </row>
    <row r="346" spans="1:14" x14ac:dyDescent="0.3">
      <c r="A346">
        <v>100345</v>
      </c>
      <c r="B346">
        <v>7594216061</v>
      </c>
      <c r="C346" t="s">
        <v>358</v>
      </c>
      <c r="D346" t="s">
        <v>516</v>
      </c>
      <c r="E346" s="2">
        <v>45636</v>
      </c>
      <c r="F346" t="s">
        <v>518</v>
      </c>
      <c r="G346">
        <v>40980.370000000003</v>
      </c>
      <c r="H346">
        <v>329622.90999999997</v>
      </c>
      <c r="I346">
        <v>11.05</v>
      </c>
      <c r="J346">
        <v>257779.83</v>
      </c>
      <c r="K346">
        <v>5</v>
      </c>
      <c r="L346">
        <v>18629.91</v>
      </c>
      <c r="M346" t="s">
        <v>523</v>
      </c>
      <c r="N346">
        <v>18</v>
      </c>
    </row>
    <row r="347" spans="1:14" x14ac:dyDescent="0.3">
      <c r="A347">
        <v>100346</v>
      </c>
      <c r="B347">
        <v>2472859660</v>
      </c>
      <c r="C347" t="s">
        <v>359</v>
      </c>
      <c r="D347" t="s">
        <v>515</v>
      </c>
      <c r="E347" s="2">
        <v>45637</v>
      </c>
      <c r="F347" t="s">
        <v>517</v>
      </c>
      <c r="G347">
        <v>11068.81</v>
      </c>
      <c r="H347">
        <v>424346.14</v>
      </c>
      <c r="I347">
        <v>11.52</v>
      </c>
      <c r="J347">
        <v>615538.1</v>
      </c>
      <c r="K347">
        <v>17</v>
      </c>
      <c r="L347">
        <v>16041.64</v>
      </c>
      <c r="M347" t="s">
        <v>521</v>
      </c>
      <c r="N347">
        <v>18</v>
      </c>
    </row>
    <row r="348" spans="1:14" x14ac:dyDescent="0.3">
      <c r="A348">
        <v>100347</v>
      </c>
      <c r="B348">
        <v>3059789457</v>
      </c>
      <c r="C348" t="s">
        <v>360</v>
      </c>
      <c r="D348" t="s">
        <v>514</v>
      </c>
      <c r="E348" s="2">
        <v>45638</v>
      </c>
      <c r="F348" t="s">
        <v>518</v>
      </c>
      <c r="G348">
        <v>25539.71</v>
      </c>
      <c r="H348">
        <v>349321.49</v>
      </c>
      <c r="I348">
        <v>11.03</v>
      </c>
      <c r="J348">
        <v>301403.28000000003</v>
      </c>
      <c r="K348">
        <v>2</v>
      </c>
      <c r="L348">
        <v>10564.66</v>
      </c>
      <c r="M348" t="s">
        <v>522</v>
      </c>
      <c r="N348">
        <v>18</v>
      </c>
    </row>
    <row r="349" spans="1:14" x14ac:dyDescent="0.3">
      <c r="A349">
        <v>100348</v>
      </c>
      <c r="B349">
        <v>7690452078</v>
      </c>
      <c r="C349" t="s">
        <v>361</v>
      </c>
      <c r="D349" t="s">
        <v>516</v>
      </c>
      <c r="E349" s="2">
        <v>45639</v>
      </c>
      <c r="F349" t="s">
        <v>518</v>
      </c>
      <c r="G349">
        <v>42114.8</v>
      </c>
      <c r="H349">
        <v>220666.23</v>
      </c>
      <c r="I349">
        <v>6.78</v>
      </c>
      <c r="J349">
        <v>678870.5</v>
      </c>
      <c r="K349">
        <v>15</v>
      </c>
      <c r="L349">
        <v>34246.07</v>
      </c>
      <c r="M349" t="s">
        <v>521</v>
      </c>
      <c r="N349">
        <v>18</v>
      </c>
    </row>
    <row r="350" spans="1:14" x14ac:dyDescent="0.3">
      <c r="A350">
        <v>100349</v>
      </c>
      <c r="B350">
        <v>3424330987</v>
      </c>
      <c r="C350" t="s">
        <v>362</v>
      </c>
      <c r="D350" t="s">
        <v>514</v>
      </c>
      <c r="E350" s="2">
        <v>45640</v>
      </c>
      <c r="F350" t="s">
        <v>518</v>
      </c>
      <c r="G350">
        <v>36773.68</v>
      </c>
      <c r="H350">
        <v>339753.64</v>
      </c>
      <c r="I350">
        <v>10.02</v>
      </c>
      <c r="J350">
        <v>824192.74</v>
      </c>
      <c r="K350">
        <v>5</v>
      </c>
      <c r="L350">
        <v>16831.89</v>
      </c>
      <c r="M350" t="s">
        <v>523</v>
      </c>
      <c r="N350">
        <v>18</v>
      </c>
    </row>
    <row r="351" spans="1:14" x14ac:dyDescent="0.3">
      <c r="A351">
        <v>100350</v>
      </c>
      <c r="B351">
        <v>2449323108</v>
      </c>
      <c r="C351" t="s">
        <v>363</v>
      </c>
      <c r="D351" t="s">
        <v>515</v>
      </c>
      <c r="E351" s="2">
        <v>45641</v>
      </c>
      <c r="F351" t="s">
        <v>518</v>
      </c>
      <c r="G351">
        <v>27340.74</v>
      </c>
      <c r="H351">
        <v>144936.78</v>
      </c>
      <c r="I351">
        <v>7.29</v>
      </c>
      <c r="J351">
        <v>789123.98</v>
      </c>
      <c r="K351">
        <v>6</v>
      </c>
      <c r="L351">
        <v>49399.73</v>
      </c>
      <c r="M351" t="s">
        <v>521</v>
      </c>
      <c r="N351">
        <v>18</v>
      </c>
    </row>
    <row r="352" spans="1:14" x14ac:dyDescent="0.3">
      <c r="A352">
        <v>100351</v>
      </c>
      <c r="B352">
        <v>9158923443</v>
      </c>
      <c r="C352" t="s">
        <v>364</v>
      </c>
      <c r="D352" t="s">
        <v>516</v>
      </c>
      <c r="E352" s="2">
        <v>45642</v>
      </c>
      <c r="F352" t="s">
        <v>517</v>
      </c>
      <c r="G352">
        <v>29722.21</v>
      </c>
      <c r="H352">
        <v>160093.60999999999</v>
      </c>
      <c r="I352">
        <v>7.48</v>
      </c>
      <c r="J352">
        <v>772808.76</v>
      </c>
      <c r="K352">
        <v>6</v>
      </c>
      <c r="L352">
        <v>16958.560000000001</v>
      </c>
      <c r="M352" t="s">
        <v>519</v>
      </c>
      <c r="N352">
        <v>18</v>
      </c>
    </row>
    <row r="353" spans="1:14" x14ac:dyDescent="0.3">
      <c r="A353">
        <v>100352</v>
      </c>
      <c r="B353">
        <v>7904397119</v>
      </c>
      <c r="C353" t="s">
        <v>365</v>
      </c>
      <c r="D353" t="s">
        <v>516</v>
      </c>
      <c r="E353" s="2">
        <v>45643</v>
      </c>
      <c r="F353" t="s">
        <v>518</v>
      </c>
      <c r="G353">
        <v>25663.85</v>
      </c>
      <c r="H353">
        <v>396602.73</v>
      </c>
      <c r="I353">
        <v>4.84</v>
      </c>
      <c r="J353">
        <v>228336.29</v>
      </c>
      <c r="K353">
        <v>18</v>
      </c>
      <c r="L353">
        <v>20312.669999999998</v>
      </c>
      <c r="M353" t="s">
        <v>521</v>
      </c>
      <c r="N353">
        <v>18</v>
      </c>
    </row>
    <row r="354" spans="1:14" x14ac:dyDescent="0.3">
      <c r="A354">
        <v>100353</v>
      </c>
      <c r="B354">
        <v>6344456122</v>
      </c>
      <c r="C354" t="s">
        <v>366</v>
      </c>
      <c r="D354" t="s">
        <v>516</v>
      </c>
      <c r="E354" s="2">
        <v>45644</v>
      </c>
      <c r="F354" t="s">
        <v>518</v>
      </c>
      <c r="G354">
        <v>15228.65</v>
      </c>
      <c r="H354">
        <v>228745.56</v>
      </c>
      <c r="I354">
        <v>8.32</v>
      </c>
      <c r="J354">
        <v>133965.70000000001</v>
      </c>
      <c r="K354">
        <v>18</v>
      </c>
      <c r="L354">
        <v>30563.38</v>
      </c>
      <c r="M354" t="s">
        <v>522</v>
      </c>
      <c r="N354">
        <v>18</v>
      </c>
    </row>
    <row r="355" spans="1:14" x14ac:dyDescent="0.3">
      <c r="A355">
        <v>100354</v>
      </c>
      <c r="B355">
        <v>2418835909</v>
      </c>
      <c r="C355" t="s">
        <v>367</v>
      </c>
      <c r="D355" t="s">
        <v>515</v>
      </c>
      <c r="E355" s="2">
        <v>45645</v>
      </c>
      <c r="F355" t="s">
        <v>517</v>
      </c>
      <c r="G355">
        <v>28468.59</v>
      </c>
      <c r="H355">
        <v>401206.37</v>
      </c>
      <c r="I355">
        <v>4.68</v>
      </c>
      <c r="J355">
        <v>714001.39</v>
      </c>
      <c r="K355">
        <v>4</v>
      </c>
      <c r="L355">
        <v>40282.53</v>
      </c>
      <c r="M355" t="s">
        <v>523</v>
      </c>
      <c r="N355">
        <v>18</v>
      </c>
    </row>
    <row r="356" spans="1:14" x14ac:dyDescent="0.3">
      <c r="A356">
        <v>100355</v>
      </c>
      <c r="B356">
        <v>5010175864</v>
      </c>
      <c r="C356" t="s">
        <v>368</v>
      </c>
      <c r="D356" t="s">
        <v>514</v>
      </c>
      <c r="E356" s="2">
        <v>45646</v>
      </c>
      <c r="F356" t="s">
        <v>518</v>
      </c>
      <c r="G356">
        <v>34599.82</v>
      </c>
      <c r="H356">
        <v>412986.96</v>
      </c>
      <c r="I356">
        <v>5.98</v>
      </c>
      <c r="J356">
        <v>399929.85</v>
      </c>
      <c r="K356">
        <v>17</v>
      </c>
      <c r="L356">
        <v>24006.41</v>
      </c>
      <c r="M356" t="s">
        <v>522</v>
      </c>
      <c r="N356">
        <v>18</v>
      </c>
    </row>
    <row r="357" spans="1:14" x14ac:dyDescent="0.3">
      <c r="A357">
        <v>100356</v>
      </c>
      <c r="B357">
        <v>1032359860</v>
      </c>
      <c r="C357" t="s">
        <v>369</v>
      </c>
      <c r="D357" t="s">
        <v>516</v>
      </c>
      <c r="E357" s="2">
        <v>45647</v>
      </c>
      <c r="F357" t="s">
        <v>517</v>
      </c>
      <c r="G357">
        <v>43729.48</v>
      </c>
      <c r="H357">
        <v>430205.55</v>
      </c>
      <c r="I357">
        <v>10.7</v>
      </c>
      <c r="J357">
        <v>460728.92</v>
      </c>
      <c r="K357">
        <v>14</v>
      </c>
      <c r="L357">
        <v>21710.15</v>
      </c>
      <c r="M357" t="s">
        <v>519</v>
      </c>
      <c r="N357">
        <v>18</v>
      </c>
    </row>
    <row r="358" spans="1:14" x14ac:dyDescent="0.3">
      <c r="A358">
        <v>100357</v>
      </c>
      <c r="B358">
        <v>6262764308</v>
      </c>
      <c r="C358" t="s">
        <v>370</v>
      </c>
      <c r="D358" t="s">
        <v>515</v>
      </c>
      <c r="E358" s="2">
        <v>45648</v>
      </c>
      <c r="F358" t="s">
        <v>518</v>
      </c>
      <c r="G358">
        <v>31996.42</v>
      </c>
      <c r="H358">
        <v>459151.27</v>
      </c>
      <c r="I358">
        <v>4.8600000000000003</v>
      </c>
      <c r="J358">
        <v>79591.64</v>
      </c>
      <c r="K358">
        <v>14</v>
      </c>
      <c r="L358">
        <v>49786.25</v>
      </c>
      <c r="M358" t="s">
        <v>522</v>
      </c>
      <c r="N358">
        <v>18</v>
      </c>
    </row>
    <row r="359" spans="1:14" x14ac:dyDescent="0.3">
      <c r="A359">
        <v>100358</v>
      </c>
      <c r="B359">
        <v>6864162885</v>
      </c>
      <c r="C359" t="s">
        <v>371</v>
      </c>
      <c r="D359" t="s">
        <v>514</v>
      </c>
      <c r="E359" s="2">
        <v>45649</v>
      </c>
      <c r="F359" t="s">
        <v>517</v>
      </c>
      <c r="G359">
        <v>38175.519999999997</v>
      </c>
      <c r="H359">
        <v>221182.76</v>
      </c>
      <c r="I359">
        <v>3.64</v>
      </c>
      <c r="J359">
        <v>296597.63</v>
      </c>
      <c r="K359">
        <v>13</v>
      </c>
      <c r="L359">
        <v>1514.19</v>
      </c>
      <c r="M359" t="s">
        <v>522</v>
      </c>
      <c r="N359">
        <v>18</v>
      </c>
    </row>
    <row r="360" spans="1:14" x14ac:dyDescent="0.3">
      <c r="A360">
        <v>100359</v>
      </c>
      <c r="B360">
        <v>9967409085</v>
      </c>
      <c r="C360" t="s">
        <v>372</v>
      </c>
      <c r="D360" t="s">
        <v>515</v>
      </c>
      <c r="E360" s="2">
        <v>45650</v>
      </c>
      <c r="F360" t="s">
        <v>518</v>
      </c>
      <c r="G360">
        <v>8423.5499999999993</v>
      </c>
      <c r="H360">
        <v>166244.74</v>
      </c>
      <c r="I360">
        <v>3.62</v>
      </c>
      <c r="J360">
        <v>81992.58</v>
      </c>
      <c r="K360">
        <v>7</v>
      </c>
      <c r="L360">
        <v>44858.2</v>
      </c>
      <c r="M360" t="s">
        <v>522</v>
      </c>
      <c r="N360">
        <v>18</v>
      </c>
    </row>
    <row r="361" spans="1:14" x14ac:dyDescent="0.3">
      <c r="A361">
        <v>100360</v>
      </c>
      <c r="B361">
        <v>8756130653</v>
      </c>
      <c r="C361" t="s">
        <v>373</v>
      </c>
      <c r="D361" t="s">
        <v>514</v>
      </c>
      <c r="E361" s="2">
        <v>45651</v>
      </c>
      <c r="F361" t="s">
        <v>517</v>
      </c>
      <c r="G361">
        <v>23347.09</v>
      </c>
      <c r="H361">
        <v>295277.39</v>
      </c>
      <c r="I361">
        <v>11.47</v>
      </c>
      <c r="J361">
        <v>885226.48</v>
      </c>
      <c r="K361">
        <v>12</v>
      </c>
      <c r="L361">
        <v>8307.9</v>
      </c>
      <c r="M361" t="s">
        <v>520</v>
      </c>
      <c r="N361">
        <v>18</v>
      </c>
    </row>
    <row r="362" spans="1:14" x14ac:dyDescent="0.3">
      <c r="A362">
        <v>100361</v>
      </c>
      <c r="B362">
        <v>9828964503</v>
      </c>
      <c r="C362" t="s">
        <v>374</v>
      </c>
      <c r="D362" t="s">
        <v>515</v>
      </c>
      <c r="E362" s="2">
        <v>45652</v>
      </c>
      <c r="F362" t="s">
        <v>518</v>
      </c>
      <c r="G362">
        <v>961.92</v>
      </c>
      <c r="H362">
        <v>191874.49</v>
      </c>
      <c r="I362">
        <v>7.56</v>
      </c>
      <c r="J362">
        <v>281226.84999999998</v>
      </c>
      <c r="K362">
        <v>15</v>
      </c>
      <c r="L362">
        <v>39510.339999999997</v>
      </c>
      <c r="M362" t="s">
        <v>519</v>
      </c>
      <c r="N362">
        <v>18</v>
      </c>
    </row>
    <row r="363" spans="1:14" x14ac:dyDescent="0.3">
      <c r="A363">
        <v>100362</v>
      </c>
      <c r="B363">
        <v>9811707266</v>
      </c>
      <c r="C363" t="s">
        <v>375</v>
      </c>
      <c r="D363" t="s">
        <v>514</v>
      </c>
      <c r="E363" s="2">
        <v>45653</v>
      </c>
      <c r="F363" t="s">
        <v>518</v>
      </c>
      <c r="G363">
        <v>12710.6</v>
      </c>
      <c r="H363">
        <v>304526.34000000003</v>
      </c>
      <c r="I363">
        <v>6.68</v>
      </c>
      <c r="J363">
        <v>579470.31000000006</v>
      </c>
      <c r="K363">
        <v>19</v>
      </c>
      <c r="L363">
        <v>31278.65</v>
      </c>
      <c r="M363" t="s">
        <v>522</v>
      </c>
      <c r="N363">
        <v>18</v>
      </c>
    </row>
    <row r="364" spans="1:14" x14ac:dyDescent="0.3">
      <c r="A364">
        <v>100363</v>
      </c>
      <c r="B364">
        <v>9668285470</v>
      </c>
      <c r="C364" t="s">
        <v>376</v>
      </c>
      <c r="D364" t="s">
        <v>516</v>
      </c>
      <c r="E364" s="2">
        <v>45654</v>
      </c>
      <c r="F364" t="s">
        <v>517</v>
      </c>
      <c r="G364">
        <v>36459.85</v>
      </c>
      <c r="H364">
        <v>355737.07</v>
      </c>
      <c r="I364">
        <v>10.3</v>
      </c>
      <c r="J364">
        <v>87030.35</v>
      </c>
      <c r="K364">
        <v>11</v>
      </c>
      <c r="L364">
        <v>17750.52</v>
      </c>
      <c r="M364" t="s">
        <v>522</v>
      </c>
      <c r="N364">
        <v>18</v>
      </c>
    </row>
    <row r="365" spans="1:14" x14ac:dyDescent="0.3">
      <c r="A365">
        <v>100364</v>
      </c>
      <c r="B365">
        <v>7768861651</v>
      </c>
      <c r="C365" t="s">
        <v>377</v>
      </c>
      <c r="D365" t="s">
        <v>514</v>
      </c>
      <c r="E365" s="2">
        <v>45655</v>
      </c>
      <c r="F365" t="s">
        <v>517</v>
      </c>
      <c r="G365">
        <v>49594.59</v>
      </c>
      <c r="H365">
        <v>347318.46</v>
      </c>
      <c r="I365">
        <v>10.52</v>
      </c>
      <c r="J365">
        <v>683505.02</v>
      </c>
      <c r="K365">
        <v>15</v>
      </c>
      <c r="L365">
        <v>43819.87</v>
      </c>
      <c r="M365" t="s">
        <v>522</v>
      </c>
      <c r="N365">
        <v>18</v>
      </c>
    </row>
    <row r="366" spans="1:14" x14ac:dyDescent="0.3">
      <c r="A366">
        <v>100365</v>
      </c>
      <c r="B366">
        <v>9482848885</v>
      </c>
      <c r="C366" t="s">
        <v>378</v>
      </c>
      <c r="D366" t="s">
        <v>515</v>
      </c>
      <c r="E366" s="2">
        <v>45656</v>
      </c>
      <c r="F366" t="s">
        <v>517</v>
      </c>
      <c r="G366">
        <v>5409.32</v>
      </c>
      <c r="H366">
        <v>193530.91</v>
      </c>
      <c r="I366">
        <v>5.99</v>
      </c>
      <c r="J366">
        <v>356875.98</v>
      </c>
      <c r="K366">
        <v>12</v>
      </c>
      <c r="L366">
        <v>1632.45</v>
      </c>
      <c r="M366" t="s">
        <v>523</v>
      </c>
      <c r="N366">
        <v>18</v>
      </c>
    </row>
    <row r="367" spans="1:14" x14ac:dyDescent="0.3">
      <c r="A367">
        <v>100366</v>
      </c>
      <c r="B367">
        <v>3107749981</v>
      </c>
      <c r="C367" t="s">
        <v>379</v>
      </c>
      <c r="D367" t="s">
        <v>515</v>
      </c>
      <c r="E367" s="2">
        <v>45657</v>
      </c>
      <c r="F367" t="s">
        <v>517</v>
      </c>
      <c r="G367">
        <v>20373.97</v>
      </c>
      <c r="H367">
        <v>91761.5</v>
      </c>
      <c r="I367">
        <v>9.24</v>
      </c>
      <c r="J367">
        <v>903023.23</v>
      </c>
      <c r="K367">
        <v>3</v>
      </c>
      <c r="L367">
        <v>12107.84</v>
      </c>
      <c r="M367" t="s">
        <v>520</v>
      </c>
      <c r="N367">
        <v>18</v>
      </c>
    </row>
    <row r="368" spans="1:14" x14ac:dyDescent="0.3">
      <c r="A368">
        <v>100367</v>
      </c>
      <c r="B368">
        <v>4085750465</v>
      </c>
      <c r="C368" t="s">
        <v>380</v>
      </c>
      <c r="D368" t="s">
        <v>514</v>
      </c>
      <c r="E368" s="2">
        <v>45658</v>
      </c>
      <c r="F368" t="s">
        <v>518</v>
      </c>
      <c r="G368">
        <v>40103.51</v>
      </c>
      <c r="H368">
        <v>220959.38</v>
      </c>
      <c r="I368">
        <v>9.94</v>
      </c>
      <c r="J368">
        <v>893712.28</v>
      </c>
      <c r="K368">
        <v>17</v>
      </c>
      <c r="L368">
        <v>28777.75</v>
      </c>
      <c r="M368" t="s">
        <v>523</v>
      </c>
      <c r="N368">
        <v>18</v>
      </c>
    </row>
    <row r="369" spans="1:14" x14ac:dyDescent="0.3">
      <c r="A369">
        <v>100368</v>
      </c>
      <c r="B369">
        <v>9452470169</v>
      </c>
      <c r="C369" t="s">
        <v>381</v>
      </c>
      <c r="D369" t="s">
        <v>516</v>
      </c>
      <c r="E369" s="2">
        <v>45659</v>
      </c>
      <c r="F369" t="s">
        <v>518</v>
      </c>
      <c r="G369">
        <v>10599.76</v>
      </c>
      <c r="H369">
        <v>79871.13</v>
      </c>
      <c r="I369">
        <v>8.89</v>
      </c>
      <c r="J369">
        <v>359026.09</v>
      </c>
      <c r="K369">
        <v>3</v>
      </c>
      <c r="L369">
        <v>18225.57</v>
      </c>
      <c r="M369" t="s">
        <v>520</v>
      </c>
      <c r="N369">
        <v>18</v>
      </c>
    </row>
    <row r="370" spans="1:14" x14ac:dyDescent="0.3">
      <c r="A370">
        <v>100369</v>
      </c>
      <c r="B370">
        <v>8348484931</v>
      </c>
      <c r="C370" t="s">
        <v>382</v>
      </c>
      <c r="D370" t="s">
        <v>516</v>
      </c>
      <c r="E370" s="2">
        <v>45660</v>
      </c>
      <c r="F370" t="s">
        <v>517</v>
      </c>
      <c r="G370">
        <v>27976.7</v>
      </c>
      <c r="H370">
        <v>446147.55</v>
      </c>
      <c r="I370">
        <v>4.3600000000000003</v>
      </c>
      <c r="J370">
        <v>905912.85</v>
      </c>
      <c r="K370">
        <v>19</v>
      </c>
      <c r="L370">
        <v>30908.5</v>
      </c>
      <c r="M370" t="s">
        <v>522</v>
      </c>
      <c r="N370">
        <v>18</v>
      </c>
    </row>
    <row r="371" spans="1:14" x14ac:dyDescent="0.3">
      <c r="A371">
        <v>100370</v>
      </c>
      <c r="B371">
        <v>4162157587</v>
      </c>
      <c r="C371" t="s">
        <v>383</v>
      </c>
      <c r="D371" t="s">
        <v>514</v>
      </c>
      <c r="E371" s="2">
        <v>45661</v>
      </c>
      <c r="F371" t="s">
        <v>518</v>
      </c>
      <c r="G371">
        <v>36787.03</v>
      </c>
      <c r="H371">
        <v>179479.96</v>
      </c>
      <c r="I371">
        <v>10.88</v>
      </c>
      <c r="J371">
        <v>996349.79</v>
      </c>
      <c r="K371">
        <v>4</v>
      </c>
      <c r="L371">
        <v>2181.4</v>
      </c>
      <c r="M371" t="s">
        <v>519</v>
      </c>
      <c r="N371">
        <v>18</v>
      </c>
    </row>
    <row r="372" spans="1:14" x14ac:dyDescent="0.3">
      <c r="A372">
        <v>100371</v>
      </c>
      <c r="B372">
        <v>3275645579</v>
      </c>
      <c r="C372" t="s">
        <v>384</v>
      </c>
      <c r="D372" t="s">
        <v>514</v>
      </c>
      <c r="E372" s="2">
        <v>45662</v>
      </c>
      <c r="F372" t="s">
        <v>517</v>
      </c>
      <c r="G372">
        <v>30991.279999999999</v>
      </c>
      <c r="H372">
        <v>85685.28</v>
      </c>
      <c r="I372">
        <v>7.85</v>
      </c>
      <c r="J372">
        <v>834144.88</v>
      </c>
      <c r="K372">
        <v>3</v>
      </c>
      <c r="L372">
        <v>6706.49</v>
      </c>
      <c r="M372" t="s">
        <v>521</v>
      </c>
      <c r="N372">
        <v>18</v>
      </c>
    </row>
    <row r="373" spans="1:14" x14ac:dyDescent="0.3">
      <c r="A373">
        <v>100372</v>
      </c>
      <c r="B373">
        <v>8592555149</v>
      </c>
      <c r="C373" t="s">
        <v>385</v>
      </c>
      <c r="D373" t="s">
        <v>515</v>
      </c>
      <c r="E373" s="2">
        <v>45663</v>
      </c>
      <c r="F373" t="s">
        <v>517</v>
      </c>
      <c r="G373">
        <v>9807.2199999999993</v>
      </c>
      <c r="H373">
        <v>22469.4</v>
      </c>
      <c r="I373">
        <v>5.54</v>
      </c>
      <c r="J373">
        <v>852627.78</v>
      </c>
      <c r="K373">
        <v>16</v>
      </c>
      <c r="L373">
        <v>7227.72</v>
      </c>
      <c r="M373" t="s">
        <v>521</v>
      </c>
      <c r="N373">
        <v>18</v>
      </c>
    </row>
    <row r="374" spans="1:14" x14ac:dyDescent="0.3">
      <c r="A374">
        <v>100373</v>
      </c>
      <c r="B374">
        <v>3173699965</v>
      </c>
      <c r="C374" t="s">
        <v>386</v>
      </c>
      <c r="D374" t="s">
        <v>516</v>
      </c>
      <c r="E374" s="2">
        <v>45664</v>
      </c>
      <c r="F374" t="s">
        <v>518</v>
      </c>
      <c r="G374">
        <v>18091.54</v>
      </c>
      <c r="H374">
        <v>326452.96999999997</v>
      </c>
      <c r="I374">
        <v>6.83</v>
      </c>
      <c r="J374">
        <v>286558.3</v>
      </c>
      <c r="K374">
        <v>12</v>
      </c>
      <c r="L374">
        <v>10274.9</v>
      </c>
      <c r="M374" t="s">
        <v>522</v>
      </c>
      <c r="N374">
        <v>18</v>
      </c>
    </row>
    <row r="375" spans="1:14" x14ac:dyDescent="0.3">
      <c r="A375">
        <v>100374</v>
      </c>
      <c r="B375">
        <v>2585832837</v>
      </c>
      <c r="C375" t="s">
        <v>387</v>
      </c>
      <c r="D375" t="s">
        <v>514</v>
      </c>
      <c r="E375" s="2">
        <v>45665</v>
      </c>
      <c r="F375" t="s">
        <v>518</v>
      </c>
      <c r="G375">
        <v>39297.69</v>
      </c>
      <c r="H375">
        <v>322082.14</v>
      </c>
      <c r="I375">
        <v>3.34</v>
      </c>
      <c r="J375">
        <v>597867.28</v>
      </c>
      <c r="K375">
        <v>8</v>
      </c>
      <c r="L375">
        <v>23507.24</v>
      </c>
      <c r="M375" t="s">
        <v>523</v>
      </c>
      <c r="N375">
        <v>18</v>
      </c>
    </row>
    <row r="376" spans="1:14" x14ac:dyDescent="0.3">
      <c r="A376">
        <v>100375</v>
      </c>
      <c r="B376">
        <v>7246033399</v>
      </c>
      <c r="C376" t="s">
        <v>388</v>
      </c>
      <c r="D376" t="s">
        <v>516</v>
      </c>
      <c r="E376" s="2">
        <v>45666</v>
      </c>
      <c r="F376" t="s">
        <v>518</v>
      </c>
      <c r="G376">
        <v>27934.21</v>
      </c>
      <c r="H376">
        <v>176896.04</v>
      </c>
      <c r="I376">
        <v>4.1500000000000004</v>
      </c>
      <c r="J376">
        <v>113893.12</v>
      </c>
      <c r="K376">
        <v>17</v>
      </c>
      <c r="L376">
        <v>37854.31</v>
      </c>
      <c r="M376" t="s">
        <v>519</v>
      </c>
      <c r="N376">
        <v>18</v>
      </c>
    </row>
    <row r="377" spans="1:14" x14ac:dyDescent="0.3">
      <c r="A377">
        <v>100376</v>
      </c>
      <c r="B377">
        <v>7651199748</v>
      </c>
      <c r="C377" t="s">
        <v>389</v>
      </c>
      <c r="D377" t="s">
        <v>514</v>
      </c>
      <c r="E377" s="2">
        <v>45667</v>
      </c>
      <c r="F377" t="s">
        <v>518</v>
      </c>
      <c r="G377">
        <v>758.87</v>
      </c>
      <c r="H377">
        <v>45138.83</v>
      </c>
      <c r="I377">
        <v>9.89</v>
      </c>
      <c r="J377">
        <v>140172.04</v>
      </c>
      <c r="K377">
        <v>7</v>
      </c>
      <c r="L377">
        <v>45371.4</v>
      </c>
      <c r="M377" t="s">
        <v>520</v>
      </c>
      <c r="N377">
        <v>18</v>
      </c>
    </row>
    <row r="378" spans="1:14" x14ac:dyDescent="0.3">
      <c r="A378">
        <v>100377</v>
      </c>
      <c r="B378">
        <v>3940212391</v>
      </c>
      <c r="C378" t="s">
        <v>390</v>
      </c>
      <c r="D378" t="s">
        <v>514</v>
      </c>
      <c r="E378" s="2">
        <v>45668</v>
      </c>
      <c r="F378" t="s">
        <v>518</v>
      </c>
      <c r="G378">
        <v>38169.040000000001</v>
      </c>
      <c r="H378">
        <v>210718.16</v>
      </c>
      <c r="I378">
        <v>3</v>
      </c>
      <c r="J378">
        <v>998947.98</v>
      </c>
      <c r="K378">
        <v>11</v>
      </c>
      <c r="L378">
        <v>41933.25</v>
      </c>
      <c r="M378" t="s">
        <v>522</v>
      </c>
      <c r="N378">
        <v>18</v>
      </c>
    </row>
    <row r="379" spans="1:14" x14ac:dyDescent="0.3">
      <c r="A379">
        <v>100378</v>
      </c>
      <c r="B379">
        <v>5672357971</v>
      </c>
      <c r="C379" t="s">
        <v>391</v>
      </c>
      <c r="D379" t="s">
        <v>516</v>
      </c>
      <c r="E379" s="2">
        <v>45669</v>
      </c>
      <c r="F379" t="s">
        <v>518</v>
      </c>
      <c r="G379">
        <v>2247.91</v>
      </c>
      <c r="H379">
        <v>162496.57</v>
      </c>
      <c r="I379">
        <v>6.75</v>
      </c>
      <c r="J379">
        <v>360307.29</v>
      </c>
      <c r="K379">
        <v>18</v>
      </c>
      <c r="L379">
        <v>10647.51</v>
      </c>
      <c r="M379" t="s">
        <v>519</v>
      </c>
      <c r="N379">
        <v>18</v>
      </c>
    </row>
    <row r="380" spans="1:14" x14ac:dyDescent="0.3">
      <c r="A380">
        <v>100379</v>
      </c>
      <c r="B380">
        <v>1596247870</v>
      </c>
      <c r="C380" t="s">
        <v>392</v>
      </c>
      <c r="D380" t="s">
        <v>514</v>
      </c>
      <c r="E380" s="2">
        <v>45670</v>
      </c>
      <c r="F380" t="s">
        <v>518</v>
      </c>
      <c r="G380">
        <v>37413.82</v>
      </c>
      <c r="H380">
        <v>341789.11</v>
      </c>
      <c r="I380">
        <v>7.7</v>
      </c>
      <c r="J380">
        <v>760774.72</v>
      </c>
      <c r="K380">
        <v>1</v>
      </c>
      <c r="L380">
        <v>22616.38</v>
      </c>
      <c r="M380" t="s">
        <v>519</v>
      </c>
      <c r="N380">
        <v>18</v>
      </c>
    </row>
    <row r="381" spans="1:14" x14ac:dyDescent="0.3">
      <c r="A381">
        <v>100380</v>
      </c>
      <c r="B381">
        <v>1011643208</v>
      </c>
      <c r="C381" t="s">
        <v>393</v>
      </c>
      <c r="D381" t="s">
        <v>514</v>
      </c>
      <c r="E381" s="2">
        <v>45671</v>
      </c>
      <c r="F381" t="s">
        <v>517</v>
      </c>
      <c r="G381">
        <v>10522.79</v>
      </c>
      <c r="H381">
        <v>306831.83</v>
      </c>
      <c r="I381">
        <v>3.49</v>
      </c>
      <c r="J381">
        <v>816331.8</v>
      </c>
      <c r="K381">
        <v>3</v>
      </c>
      <c r="L381">
        <v>10771.17</v>
      </c>
      <c r="M381" t="s">
        <v>520</v>
      </c>
      <c r="N381">
        <v>18</v>
      </c>
    </row>
    <row r="382" spans="1:14" x14ac:dyDescent="0.3">
      <c r="A382">
        <v>100381</v>
      </c>
      <c r="B382">
        <v>1501205768</v>
      </c>
      <c r="C382" t="s">
        <v>394</v>
      </c>
      <c r="D382" t="s">
        <v>515</v>
      </c>
      <c r="E382" s="2">
        <v>45672</v>
      </c>
      <c r="F382" t="s">
        <v>517</v>
      </c>
      <c r="G382">
        <v>47924.639999999999</v>
      </c>
      <c r="H382">
        <v>188650.93</v>
      </c>
      <c r="I382">
        <v>11.76</v>
      </c>
      <c r="J382">
        <v>865122.11</v>
      </c>
      <c r="K382">
        <v>4</v>
      </c>
      <c r="L382">
        <v>13959.12</v>
      </c>
      <c r="M382" t="s">
        <v>519</v>
      </c>
      <c r="N382">
        <v>18</v>
      </c>
    </row>
    <row r="383" spans="1:14" x14ac:dyDescent="0.3">
      <c r="A383">
        <v>100382</v>
      </c>
      <c r="B383">
        <v>5753237086</v>
      </c>
      <c r="C383" t="s">
        <v>395</v>
      </c>
      <c r="D383" t="s">
        <v>514</v>
      </c>
      <c r="E383" s="2">
        <v>45673</v>
      </c>
      <c r="F383" t="s">
        <v>517</v>
      </c>
      <c r="G383">
        <v>18713.07</v>
      </c>
      <c r="H383">
        <v>116767.35</v>
      </c>
      <c r="I383">
        <v>5.04</v>
      </c>
      <c r="J383">
        <v>997746.88</v>
      </c>
      <c r="K383">
        <v>13</v>
      </c>
      <c r="L383">
        <v>25673.8</v>
      </c>
      <c r="M383" t="s">
        <v>523</v>
      </c>
      <c r="N383">
        <v>18</v>
      </c>
    </row>
    <row r="384" spans="1:14" x14ac:dyDescent="0.3">
      <c r="A384">
        <v>100383</v>
      </c>
      <c r="B384">
        <v>4653846596</v>
      </c>
      <c r="C384" t="s">
        <v>396</v>
      </c>
      <c r="D384" t="s">
        <v>514</v>
      </c>
      <c r="E384" s="2">
        <v>45674</v>
      </c>
      <c r="F384" t="s">
        <v>517</v>
      </c>
      <c r="G384">
        <v>16683.12</v>
      </c>
      <c r="H384">
        <v>494137.62</v>
      </c>
      <c r="I384">
        <v>5.74</v>
      </c>
      <c r="J384">
        <v>279421.65999999997</v>
      </c>
      <c r="K384">
        <v>6</v>
      </c>
      <c r="L384">
        <v>4337.34</v>
      </c>
      <c r="M384" t="s">
        <v>523</v>
      </c>
      <c r="N384">
        <v>18</v>
      </c>
    </row>
    <row r="385" spans="1:14" x14ac:dyDescent="0.3">
      <c r="A385">
        <v>100384</v>
      </c>
      <c r="B385">
        <v>8498903483</v>
      </c>
      <c r="C385" t="s">
        <v>397</v>
      </c>
      <c r="D385" t="s">
        <v>514</v>
      </c>
      <c r="E385" s="2">
        <v>45675</v>
      </c>
      <c r="F385" t="s">
        <v>517</v>
      </c>
      <c r="G385">
        <v>7869.96</v>
      </c>
      <c r="H385">
        <v>232460.79</v>
      </c>
      <c r="I385">
        <v>5.74</v>
      </c>
      <c r="J385">
        <v>88333.29</v>
      </c>
      <c r="K385">
        <v>14</v>
      </c>
      <c r="L385">
        <v>11690.54</v>
      </c>
      <c r="M385" t="s">
        <v>523</v>
      </c>
      <c r="N385">
        <v>18</v>
      </c>
    </row>
    <row r="386" spans="1:14" x14ac:dyDescent="0.3">
      <c r="A386">
        <v>100385</v>
      </c>
      <c r="B386">
        <v>9301905780</v>
      </c>
      <c r="C386" t="s">
        <v>398</v>
      </c>
      <c r="D386" t="s">
        <v>515</v>
      </c>
      <c r="E386" s="2">
        <v>45676</v>
      </c>
      <c r="F386" t="s">
        <v>518</v>
      </c>
      <c r="G386">
        <v>15627.41</v>
      </c>
      <c r="H386">
        <v>347254.38</v>
      </c>
      <c r="I386">
        <v>5.07</v>
      </c>
      <c r="J386">
        <v>440631.94</v>
      </c>
      <c r="K386">
        <v>5</v>
      </c>
      <c r="L386">
        <v>46833.53</v>
      </c>
      <c r="M386" t="s">
        <v>519</v>
      </c>
      <c r="N386">
        <v>18</v>
      </c>
    </row>
    <row r="387" spans="1:14" x14ac:dyDescent="0.3">
      <c r="A387">
        <v>100386</v>
      </c>
      <c r="B387">
        <v>1880476065</v>
      </c>
      <c r="C387" t="s">
        <v>399</v>
      </c>
      <c r="D387" t="s">
        <v>516</v>
      </c>
      <c r="E387" s="2">
        <v>45677</v>
      </c>
      <c r="F387" t="s">
        <v>517</v>
      </c>
      <c r="G387">
        <v>43894.21</v>
      </c>
      <c r="H387">
        <v>78870.95</v>
      </c>
      <c r="I387">
        <v>3.01</v>
      </c>
      <c r="J387">
        <v>173576.64</v>
      </c>
      <c r="K387">
        <v>16</v>
      </c>
      <c r="L387">
        <v>23839.7</v>
      </c>
      <c r="M387" t="s">
        <v>523</v>
      </c>
      <c r="N387">
        <v>18</v>
      </c>
    </row>
    <row r="388" spans="1:14" x14ac:dyDescent="0.3">
      <c r="A388">
        <v>100387</v>
      </c>
      <c r="B388">
        <v>5501532219</v>
      </c>
      <c r="C388" t="s">
        <v>400</v>
      </c>
      <c r="D388" t="s">
        <v>515</v>
      </c>
      <c r="E388" s="2">
        <v>45678</v>
      </c>
      <c r="F388" t="s">
        <v>517</v>
      </c>
      <c r="G388">
        <v>49818.55</v>
      </c>
      <c r="H388">
        <v>247938.95</v>
      </c>
      <c r="I388">
        <v>9.56</v>
      </c>
      <c r="J388">
        <v>71304.59</v>
      </c>
      <c r="K388">
        <v>15</v>
      </c>
      <c r="L388">
        <v>22823.94</v>
      </c>
      <c r="M388" t="s">
        <v>520</v>
      </c>
      <c r="N388">
        <v>18</v>
      </c>
    </row>
    <row r="389" spans="1:14" x14ac:dyDescent="0.3">
      <c r="A389">
        <v>100388</v>
      </c>
      <c r="B389">
        <v>4223381220</v>
      </c>
      <c r="C389" t="s">
        <v>401</v>
      </c>
      <c r="D389" t="s">
        <v>515</v>
      </c>
      <c r="E389" s="2">
        <v>45679</v>
      </c>
      <c r="F389" t="s">
        <v>517</v>
      </c>
      <c r="G389">
        <v>18731.32</v>
      </c>
      <c r="H389">
        <v>23492.99</v>
      </c>
      <c r="I389">
        <v>11.7</v>
      </c>
      <c r="J389">
        <v>392405.49</v>
      </c>
      <c r="K389">
        <v>15</v>
      </c>
      <c r="L389">
        <v>1713.79</v>
      </c>
      <c r="M389" t="s">
        <v>519</v>
      </c>
      <c r="N389">
        <v>18</v>
      </c>
    </row>
    <row r="390" spans="1:14" x14ac:dyDescent="0.3">
      <c r="A390">
        <v>100389</v>
      </c>
      <c r="B390">
        <v>8728953147</v>
      </c>
      <c r="C390" t="s">
        <v>402</v>
      </c>
      <c r="D390" t="s">
        <v>516</v>
      </c>
      <c r="E390" s="2">
        <v>45680</v>
      </c>
      <c r="F390" t="s">
        <v>517</v>
      </c>
      <c r="G390">
        <v>22706.23</v>
      </c>
      <c r="H390">
        <v>257673.01</v>
      </c>
      <c r="I390">
        <v>5.0199999999999996</v>
      </c>
      <c r="J390">
        <v>794551.34</v>
      </c>
      <c r="K390">
        <v>4</v>
      </c>
      <c r="L390">
        <v>13122.59</v>
      </c>
      <c r="M390" t="s">
        <v>521</v>
      </c>
      <c r="N390">
        <v>18</v>
      </c>
    </row>
    <row r="391" spans="1:14" x14ac:dyDescent="0.3">
      <c r="A391">
        <v>100390</v>
      </c>
      <c r="B391">
        <v>8838885154</v>
      </c>
      <c r="C391" t="s">
        <v>403</v>
      </c>
      <c r="D391" t="s">
        <v>515</v>
      </c>
      <c r="E391" s="2">
        <v>45681</v>
      </c>
      <c r="F391" t="s">
        <v>517</v>
      </c>
      <c r="G391">
        <v>36242.51</v>
      </c>
      <c r="H391">
        <v>482368.53</v>
      </c>
      <c r="I391">
        <v>8.9700000000000006</v>
      </c>
      <c r="J391">
        <v>587871.66</v>
      </c>
      <c r="K391">
        <v>8</v>
      </c>
      <c r="L391">
        <v>43448.33</v>
      </c>
      <c r="M391" t="s">
        <v>519</v>
      </c>
      <c r="N391">
        <v>18</v>
      </c>
    </row>
    <row r="392" spans="1:14" x14ac:dyDescent="0.3">
      <c r="A392">
        <v>100391</v>
      </c>
      <c r="B392">
        <v>1800603300</v>
      </c>
      <c r="C392" t="s">
        <v>404</v>
      </c>
      <c r="D392" t="s">
        <v>516</v>
      </c>
      <c r="E392" s="2">
        <v>45682</v>
      </c>
      <c r="F392" t="s">
        <v>517</v>
      </c>
      <c r="G392">
        <v>44366.69</v>
      </c>
      <c r="H392">
        <v>198261.29</v>
      </c>
      <c r="I392">
        <v>9.68</v>
      </c>
      <c r="J392">
        <v>347139.09</v>
      </c>
      <c r="K392">
        <v>16</v>
      </c>
      <c r="L392">
        <v>9066.7900000000009</v>
      </c>
      <c r="M392" t="s">
        <v>520</v>
      </c>
      <c r="N392">
        <v>18</v>
      </c>
    </row>
    <row r="393" spans="1:14" x14ac:dyDescent="0.3">
      <c r="A393">
        <v>100392</v>
      </c>
      <c r="B393">
        <v>2012288338</v>
      </c>
      <c r="C393" t="s">
        <v>405</v>
      </c>
      <c r="D393" t="s">
        <v>515</v>
      </c>
      <c r="E393" s="2">
        <v>45683</v>
      </c>
      <c r="F393" t="s">
        <v>517</v>
      </c>
      <c r="G393">
        <v>29855.69</v>
      </c>
      <c r="H393">
        <v>29108.05</v>
      </c>
      <c r="I393">
        <v>10.64</v>
      </c>
      <c r="J393">
        <v>671624.91</v>
      </c>
      <c r="K393">
        <v>16</v>
      </c>
      <c r="L393">
        <v>21341.119999999999</v>
      </c>
      <c r="M393" t="s">
        <v>521</v>
      </c>
      <c r="N393">
        <v>18</v>
      </c>
    </row>
    <row r="394" spans="1:14" x14ac:dyDescent="0.3">
      <c r="A394">
        <v>100393</v>
      </c>
      <c r="B394">
        <v>9194222653</v>
      </c>
      <c r="C394" t="s">
        <v>406</v>
      </c>
      <c r="D394" t="s">
        <v>516</v>
      </c>
      <c r="E394" s="2">
        <v>45684</v>
      </c>
      <c r="F394" t="s">
        <v>518</v>
      </c>
      <c r="G394">
        <v>19880.52</v>
      </c>
      <c r="H394">
        <v>25168.34</v>
      </c>
      <c r="I394">
        <v>6.8</v>
      </c>
      <c r="J394">
        <v>270417.27</v>
      </c>
      <c r="K394">
        <v>4</v>
      </c>
      <c r="L394">
        <v>1702.21</v>
      </c>
      <c r="M394" t="s">
        <v>519</v>
      </c>
      <c r="N394">
        <v>18</v>
      </c>
    </row>
    <row r="395" spans="1:14" x14ac:dyDescent="0.3">
      <c r="A395">
        <v>100394</v>
      </c>
      <c r="B395">
        <v>3526757929</v>
      </c>
      <c r="C395" t="s">
        <v>407</v>
      </c>
      <c r="D395" t="s">
        <v>514</v>
      </c>
      <c r="E395" s="2">
        <v>45685</v>
      </c>
      <c r="F395" t="s">
        <v>518</v>
      </c>
      <c r="G395">
        <v>20924.78</v>
      </c>
      <c r="H395">
        <v>200113.51</v>
      </c>
      <c r="I395">
        <v>5.73</v>
      </c>
      <c r="J395">
        <v>63662.37</v>
      </c>
      <c r="K395">
        <v>13</v>
      </c>
      <c r="L395">
        <v>24438.44</v>
      </c>
      <c r="M395" t="s">
        <v>523</v>
      </c>
      <c r="N395">
        <v>18</v>
      </c>
    </row>
    <row r="396" spans="1:14" x14ac:dyDescent="0.3">
      <c r="A396">
        <v>100395</v>
      </c>
      <c r="B396">
        <v>3933385617</v>
      </c>
      <c r="C396" t="s">
        <v>408</v>
      </c>
      <c r="D396" t="s">
        <v>515</v>
      </c>
      <c r="E396" s="2">
        <v>45686</v>
      </c>
      <c r="F396" t="s">
        <v>517</v>
      </c>
      <c r="G396">
        <v>34933.1</v>
      </c>
      <c r="H396">
        <v>88412.22</v>
      </c>
      <c r="I396">
        <v>5.93</v>
      </c>
      <c r="J396">
        <v>776135.72</v>
      </c>
      <c r="K396">
        <v>13</v>
      </c>
      <c r="L396">
        <v>2030.03</v>
      </c>
      <c r="M396" t="s">
        <v>522</v>
      </c>
      <c r="N396">
        <v>18</v>
      </c>
    </row>
    <row r="397" spans="1:14" x14ac:dyDescent="0.3">
      <c r="A397">
        <v>100396</v>
      </c>
      <c r="B397">
        <v>9159009567</v>
      </c>
      <c r="C397" t="s">
        <v>409</v>
      </c>
      <c r="D397" t="s">
        <v>515</v>
      </c>
      <c r="E397" s="2">
        <v>45687</v>
      </c>
      <c r="F397" t="s">
        <v>518</v>
      </c>
      <c r="G397">
        <v>659.3</v>
      </c>
      <c r="H397">
        <v>21442.53</v>
      </c>
      <c r="I397">
        <v>9.41</v>
      </c>
      <c r="J397">
        <v>642555.93000000005</v>
      </c>
      <c r="K397">
        <v>2</v>
      </c>
      <c r="L397">
        <v>41160.870000000003</v>
      </c>
      <c r="M397" t="s">
        <v>522</v>
      </c>
      <c r="N397">
        <v>18</v>
      </c>
    </row>
    <row r="398" spans="1:14" x14ac:dyDescent="0.3">
      <c r="A398">
        <v>100397</v>
      </c>
      <c r="B398">
        <v>7613309280</v>
      </c>
      <c r="C398" t="s">
        <v>410</v>
      </c>
      <c r="D398" t="s">
        <v>515</v>
      </c>
      <c r="E398" s="2">
        <v>45688</v>
      </c>
      <c r="F398" t="s">
        <v>518</v>
      </c>
      <c r="G398">
        <v>31169.67</v>
      </c>
      <c r="H398">
        <v>380544.67</v>
      </c>
      <c r="I398">
        <v>10.35</v>
      </c>
      <c r="J398">
        <v>774187.49</v>
      </c>
      <c r="K398">
        <v>3</v>
      </c>
      <c r="L398">
        <v>41417.83</v>
      </c>
      <c r="M398" t="s">
        <v>523</v>
      </c>
      <c r="N398">
        <v>18</v>
      </c>
    </row>
    <row r="399" spans="1:14" x14ac:dyDescent="0.3">
      <c r="A399">
        <v>100398</v>
      </c>
      <c r="B399">
        <v>2526270096</v>
      </c>
      <c r="C399" t="s">
        <v>411</v>
      </c>
      <c r="D399" t="s">
        <v>515</v>
      </c>
      <c r="E399" s="2">
        <v>45689</v>
      </c>
      <c r="F399" t="s">
        <v>518</v>
      </c>
      <c r="G399">
        <v>18096.900000000001</v>
      </c>
      <c r="H399">
        <v>234676.27</v>
      </c>
      <c r="I399">
        <v>4.63</v>
      </c>
      <c r="J399">
        <v>86991.12</v>
      </c>
      <c r="K399">
        <v>8</v>
      </c>
      <c r="L399">
        <v>39599.370000000003</v>
      </c>
      <c r="M399" t="s">
        <v>522</v>
      </c>
      <c r="N399">
        <v>18</v>
      </c>
    </row>
    <row r="400" spans="1:14" x14ac:dyDescent="0.3">
      <c r="A400">
        <v>100399</v>
      </c>
      <c r="B400">
        <v>2681402862</v>
      </c>
      <c r="C400" t="s">
        <v>412</v>
      </c>
      <c r="D400" t="s">
        <v>514</v>
      </c>
      <c r="E400" s="2">
        <v>45690</v>
      </c>
      <c r="F400" t="s">
        <v>518</v>
      </c>
      <c r="G400">
        <v>39812.769999999997</v>
      </c>
      <c r="H400">
        <v>151729.94</v>
      </c>
      <c r="I400">
        <v>6.34</v>
      </c>
      <c r="J400">
        <v>845263.65</v>
      </c>
      <c r="K400">
        <v>15</v>
      </c>
      <c r="L400">
        <v>14884.84</v>
      </c>
      <c r="M400" t="s">
        <v>522</v>
      </c>
      <c r="N400">
        <v>18</v>
      </c>
    </row>
    <row r="401" spans="1:14" x14ac:dyDescent="0.3">
      <c r="A401">
        <v>100400</v>
      </c>
      <c r="B401">
        <v>5581094196</v>
      </c>
      <c r="C401" t="s">
        <v>413</v>
      </c>
      <c r="D401" t="s">
        <v>515</v>
      </c>
      <c r="E401" s="2">
        <v>45691</v>
      </c>
      <c r="F401" t="s">
        <v>517</v>
      </c>
      <c r="G401">
        <v>5103.04</v>
      </c>
      <c r="H401">
        <v>451040.76</v>
      </c>
      <c r="I401">
        <v>11.12</v>
      </c>
      <c r="J401">
        <v>638549.89</v>
      </c>
      <c r="K401">
        <v>11</v>
      </c>
      <c r="L401">
        <v>42024.62</v>
      </c>
      <c r="M401" t="s">
        <v>523</v>
      </c>
      <c r="N401">
        <v>18</v>
      </c>
    </row>
    <row r="402" spans="1:14" x14ac:dyDescent="0.3">
      <c r="A402">
        <v>100401</v>
      </c>
      <c r="B402">
        <v>6724400194</v>
      </c>
      <c r="C402" t="s">
        <v>414</v>
      </c>
      <c r="D402" t="s">
        <v>514</v>
      </c>
      <c r="E402" s="2">
        <v>45692</v>
      </c>
      <c r="F402" t="s">
        <v>518</v>
      </c>
      <c r="G402">
        <v>29616.01</v>
      </c>
      <c r="H402">
        <v>66908.09</v>
      </c>
      <c r="I402">
        <v>10.26</v>
      </c>
      <c r="J402">
        <v>585225.57999999996</v>
      </c>
      <c r="K402">
        <v>9</v>
      </c>
      <c r="L402">
        <v>27606.91</v>
      </c>
      <c r="M402" t="s">
        <v>523</v>
      </c>
      <c r="N402">
        <v>18</v>
      </c>
    </row>
    <row r="403" spans="1:14" x14ac:dyDescent="0.3">
      <c r="A403">
        <v>100402</v>
      </c>
      <c r="B403">
        <v>3127828256</v>
      </c>
      <c r="C403" t="s">
        <v>415</v>
      </c>
      <c r="D403" t="s">
        <v>514</v>
      </c>
      <c r="E403" s="2">
        <v>45693</v>
      </c>
      <c r="F403" t="s">
        <v>518</v>
      </c>
      <c r="G403">
        <v>24308.16</v>
      </c>
      <c r="H403">
        <v>478400.23</v>
      </c>
      <c r="I403">
        <v>11.86</v>
      </c>
      <c r="J403">
        <v>643383.35</v>
      </c>
      <c r="K403">
        <v>7</v>
      </c>
      <c r="L403">
        <v>19316.599999999999</v>
      </c>
      <c r="M403" t="s">
        <v>519</v>
      </c>
      <c r="N403">
        <v>18</v>
      </c>
    </row>
    <row r="404" spans="1:14" x14ac:dyDescent="0.3">
      <c r="A404">
        <v>100403</v>
      </c>
      <c r="B404">
        <v>8526514104</v>
      </c>
      <c r="C404" t="s">
        <v>416</v>
      </c>
      <c r="D404" t="s">
        <v>514</v>
      </c>
      <c r="E404" s="2">
        <v>45694</v>
      </c>
      <c r="F404" t="s">
        <v>518</v>
      </c>
      <c r="G404">
        <v>32295.11</v>
      </c>
      <c r="H404">
        <v>163843.69</v>
      </c>
      <c r="I404">
        <v>9.7899999999999991</v>
      </c>
      <c r="J404">
        <v>871211.58</v>
      </c>
      <c r="K404">
        <v>13</v>
      </c>
      <c r="L404">
        <v>31641.17</v>
      </c>
      <c r="M404" t="s">
        <v>519</v>
      </c>
      <c r="N404">
        <v>18</v>
      </c>
    </row>
    <row r="405" spans="1:14" x14ac:dyDescent="0.3">
      <c r="A405">
        <v>100404</v>
      </c>
      <c r="B405">
        <v>4036457980</v>
      </c>
      <c r="C405" t="s">
        <v>417</v>
      </c>
      <c r="D405" t="s">
        <v>514</v>
      </c>
      <c r="E405" s="2">
        <v>45695</v>
      </c>
      <c r="F405" t="s">
        <v>517</v>
      </c>
      <c r="G405">
        <v>3710.25</v>
      </c>
      <c r="H405">
        <v>445317.8</v>
      </c>
      <c r="I405">
        <v>6.54</v>
      </c>
      <c r="J405">
        <v>607589.68000000005</v>
      </c>
      <c r="K405">
        <v>2</v>
      </c>
      <c r="L405">
        <v>1604.71</v>
      </c>
      <c r="M405" t="s">
        <v>523</v>
      </c>
      <c r="N405">
        <v>18</v>
      </c>
    </row>
    <row r="406" spans="1:14" x14ac:dyDescent="0.3">
      <c r="A406">
        <v>100405</v>
      </c>
      <c r="B406">
        <v>4343941018</v>
      </c>
      <c r="C406" t="s">
        <v>418</v>
      </c>
      <c r="D406" t="s">
        <v>516</v>
      </c>
      <c r="E406" s="2">
        <v>45696</v>
      </c>
      <c r="F406" t="s">
        <v>517</v>
      </c>
      <c r="G406">
        <v>29209.200000000001</v>
      </c>
      <c r="H406">
        <v>305442.01</v>
      </c>
      <c r="I406">
        <v>8.32</v>
      </c>
      <c r="J406">
        <v>601902.86</v>
      </c>
      <c r="K406">
        <v>8</v>
      </c>
      <c r="L406">
        <v>8005.08</v>
      </c>
      <c r="M406" t="s">
        <v>520</v>
      </c>
      <c r="N406">
        <v>18</v>
      </c>
    </row>
    <row r="407" spans="1:14" x14ac:dyDescent="0.3">
      <c r="A407">
        <v>100406</v>
      </c>
      <c r="B407">
        <v>6173479619</v>
      </c>
      <c r="C407" t="s">
        <v>419</v>
      </c>
      <c r="D407" t="s">
        <v>516</v>
      </c>
      <c r="E407" s="2">
        <v>45697</v>
      </c>
      <c r="F407" t="s">
        <v>517</v>
      </c>
      <c r="G407">
        <v>28293.49</v>
      </c>
      <c r="H407">
        <v>415086.61</v>
      </c>
      <c r="I407">
        <v>8.9499999999999993</v>
      </c>
      <c r="J407">
        <v>991145.2</v>
      </c>
      <c r="K407">
        <v>7</v>
      </c>
      <c r="L407">
        <v>37372.379999999997</v>
      </c>
      <c r="M407" t="s">
        <v>522</v>
      </c>
      <c r="N407">
        <v>18</v>
      </c>
    </row>
    <row r="408" spans="1:14" x14ac:dyDescent="0.3">
      <c r="A408">
        <v>100407</v>
      </c>
      <c r="B408">
        <v>8361849153</v>
      </c>
      <c r="C408" t="s">
        <v>420</v>
      </c>
      <c r="D408" t="s">
        <v>515</v>
      </c>
      <c r="E408" s="2">
        <v>45698</v>
      </c>
      <c r="F408" t="s">
        <v>517</v>
      </c>
      <c r="G408">
        <v>28252.67</v>
      </c>
      <c r="H408">
        <v>492166.45</v>
      </c>
      <c r="I408">
        <v>3.71</v>
      </c>
      <c r="J408">
        <v>768893.66</v>
      </c>
      <c r="K408">
        <v>12</v>
      </c>
      <c r="L408">
        <v>12963.92</v>
      </c>
      <c r="M408" t="s">
        <v>519</v>
      </c>
      <c r="N408">
        <v>18</v>
      </c>
    </row>
    <row r="409" spans="1:14" x14ac:dyDescent="0.3">
      <c r="A409">
        <v>100408</v>
      </c>
      <c r="B409">
        <v>7416601604</v>
      </c>
      <c r="C409" t="s">
        <v>421</v>
      </c>
      <c r="D409" t="s">
        <v>516</v>
      </c>
      <c r="E409" s="2">
        <v>45699</v>
      </c>
      <c r="F409" t="s">
        <v>517</v>
      </c>
      <c r="G409">
        <v>30372.639999999999</v>
      </c>
      <c r="H409">
        <v>151318.66</v>
      </c>
      <c r="I409">
        <v>7.9</v>
      </c>
      <c r="J409">
        <v>470179.12</v>
      </c>
      <c r="K409">
        <v>19</v>
      </c>
      <c r="L409">
        <v>30302.45</v>
      </c>
      <c r="M409" t="s">
        <v>522</v>
      </c>
      <c r="N409">
        <v>18</v>
      </c>
    </row>
    <row r="410" spans="1:14" x14ac:dyDescent="0.3">
      <c r="A410">
        <v>100409</v>
      </c>
      <c r="B410">
        <v>1442020981</v>
      </c>
      <c r="C410" t="s">
        <v>422</v>
      </c>
      <c r="D410" t="s">
        <v>516</v>
      </c>
      <c r="E410" s="2">
        <v>45700</v>
      </c>
      <c r="F410" t="s">
        <v>517</v>
      </c>
      <c r="G410">
        <v>33985.160000000003</v>
      </c>
      <c r="H410">
        <v>480956.39</v>
      </c>
      <c r="I410">
        <v>9.3800000000000008</v>
      </c>
      <c r="J410">
        <v>722027.15</v>
      </c>
      <c r="K410">
        <v>7</v>
      </c>
      <c r="L410">
        <v>19870.03</v>
      </c>
      <c r="M410" t="s">
        <v>521</v>
      </c>
      <c r="N410">
        <v>18</v>
      </c>
    </row>
    <row r="411" spans="1:14" x14ac:dyDescent="0.3">
      <c r="A411">
        <v>100410</v>
      </c>
      <c r="B411">
        <v>7599137164</v>
      </c>
      <c r="C411" t="s">
        <v>423</v>
      </c>
      <c r="D411" t="s">
        <v>515</v>
      </c>
      <c r="E411" s="2">
        <v>45701</v>
      </c>
      <c r="F411" t="s">
        <v>517</v>
      </c>
      <c r="G411">
        <v>40346.959999999999</v>
      </c>
      <c r="H411">
        <v>200846.13</v>
      </c>
      <c r="I411">
        <v>4.51</v>
      </c>
      <c r="J411">
        <v>419768.95</v>
      </c>
      <c r="K411">
        <v>10</v>
      </c>
      <c r="L411">
        <v>42885.48</v>
      </c>
      <c r="M411" t="s">
        <v>523</v>
      </c>
      <c r="N411">
        <v>18</v>
      </c>
    </row>
    <row r="412" spans="1:14" x14ac:dyDescent="0.3">
      <c r="A412">
        <v>100411</v>
      </c>
      <c r="B412">
        <v>3318683783</v>
      </c>
      <c r="C412" t="s">
        <v>424</v>
      </c>
      <c r="D412" t="s">
        <v>515</v>
      </c>
      <c r="E412" s="2">
        <v>45702</v>
      </c>
      <c r="F412" t="s">
        <v>518</v>
      </c>
      <c r="G412">
        <v>13856.13</v>
      </c>
      <c r="H412">
        <v>198900.83</v>
      </c>
      <c r="I412">
        <v>10.029999999999999</v>
      </c>
      <c r="J412">
        <v>267431.69</v>
      </c>
      <c r="K412">
        <v>16</v>
      </c>
      <c r="L412">
        <v>47668.35</v>
      </c>
      <c r="M412" t="s">
        <v>520</v>
      </c>
      <c r="N412">
        <v>18</v>
      </c>
    </row>
    <row r="413" spans="1:14" x14ac:dyDescent="0.3">
      <c r="A413">
        <v>100412</v>
      </c>
      <c r="B413">
        <v>3088889500</v>
      </c>
      <c r="C413" t="s">
        <v>425</v>
      </c>
      <c r="D413" t="s">
        <v>515</v>
      </c>
      <c r="E413" s="2">
        <v>45703</v>
      </c>
      <c r="F413" t="s">
        <v>518</v>
      </c>
      <c r="G413">
        <v>41339.949999999997</v>
      </c>
      <c r="H413">
        <v>176789.68</v>
      </c>
      <c r="I413">
        <v>8.25</v>
      </c>
      <c r="J413">
        <v>617009.28</v>
      </c>
      <c r="K413">
        <v>3</v>
      </c>
      <c r="L413">
        <v>44294.67</v>
      </c>
      <c r="M413" t="s">
        <v>521</v>
      </c>
      <c r="N413">
        <v>18</v>
      </c>
    </row>
    <row r="414" spans="1:14" x14ac:dyDescent="0.3">
      <c r="A414">
        <v>100413</v>
      </c>
      <c r="B414">
        <v>5347379098</v>
      </c>
      <c r="C414" t="s">
        <v>426</v>
      </c>
      <c r="D414" t="s">
        <v>516</v>
      </c>
      <c r="E414" s="2">
        <v>45704</v>
      </c>
      <c r="F414" t="s">
        <v>518</v>
      </c>
      <c r="G414">
        <v>25163.66</v>
      </c>
      <c r="H414">
        <v>275289.73</v>
      </c>
      <c r="I414">
        <v>11.57</v>
      </c>
      <c r="J414">
        <v>931772.99</v>
      </c>
      <c r="K414">
        <v>10</v>
      </c>
      <c r="L414">
        <v>14260.38</v>
      </c>
      <c r="M414" t="s">
        <v>521</v>
      </c>
      <c r="N414">
        <v>18</v>
      </c>
    </row>
    <row r="415" spans="1:14" x14ac:dyDescent="0.3">
      <c r="A415">
        <v>100414</v>
      </c>
      <c r="B415">
        <v>4551073939</v>
      </c>
      <c r="C415" t="s">
        <v>427</v>
      </c>
      <c r="D415" t="s">
        <v>516</v>
      </c>
      <c r="E415" s="2">
        <v>45705</v>
      </c>
      <c r="F415" t="s">
        <v>517</v>
      </c>
      <c r="G415">
        <v>4314.38</v>
      </c>
      <c r="H415">
        <v>85531.07</v>
      </c>
      <c r="I415">
        <v>3.38</v>
      </c>
      <c r="J415">
        <v>932682.54</v>
      </c>
      <c r="K415">
        <v>6</v>
      </c>
      <c r="L415">
        <v>10513.98</v>
      </c>
      <c r="M415" t="s">
        <v>521</v>
      </c>
      <c r="N415">
        <v>18</v>
      </c>
    </row>
    <row r="416" spans="1:14" x14ac:dyDescent="0.3">
      <c r="A416">
        <v>100415</v>
      </c>
      <c r="B416">
        <v>6766097767</v>
      </c>
      <c r="C416" t="s">
        <v>428</v>
      </c>
      <c r="D416" t="s">
        <v>515</v>
      </c>
      <c r="E416" s="2">
        <v>45706</v>
      </c>
      <c r="F416" t="s">
        <v>517</v>
      </c>
      <c r="G416">
        <v>3398.27</v>
      </c>
      <c r="H416">
        <v>281318.63</v>
      </c>
      <c r="I416">
        <v>5.39</v>
      </c>
      <c r="J416">
        <v>374810.01</v>
      </c>
      <c r="K416">
        <v>18</v>
      </c>
      <c r="L416">
        <v>24247.31</v>
      </c>
      <c r="M416" t="s">
        <v>523</v>
      </c>
      <c r="N416">
        <v>18</v>
      </c>
    </row>
    <row r="417" spans="1:14" x14ac:dyDescent="0.3">
      <c r="A417">
        <v>100416</v>
      </c>
      <c r="B417">
        <v>6271432325</v>
      </c>
      <c r="C417" t="s">
        <v>429</v>
      </c>
      <c r="D417" t="s">
        <v>514</v>
      </c>
      <c r="E417" s="2">
        <v>45707</v>
      </c>
      <c r="F417" t="s">
        <v>517</v>
      </c>
      <c r="G417">
        <v>17044.8</v>
      </c>
      <c r="H417">
        <v>275435.36</v>
      </c>
      <c r="I417">
        <v>8.41</v>
      </c>
      <c r="J417">
        <v>551293.59</v>
      </c>
      <c r="K417">
        <v>18</v>
      </c>
      <c r="L417">
        <v>1359.37</v>
      </c>
      <c r="M417" t="s">
        <v>519</v>
      </c>
      <c r="N417">
        <v>18</v>
      </c>
    </row>
    <row r="418" spans="1:14" x14ac:dyDescent="0.3">
      <c r="A418">
        <v>100417</v>
      </c>
      <c r="B418">
        <v>7936158570</v>
      </c>
      <c r="C418" t="s">
        <v>430</v>
      </c>
      <c r="D418" t="s">
        <v>515</v>
      </c>
      <c r="E418" s="2">
        <v>45708</v>
      </c>
      <c r="F418" t="s">
        <v>517</v>
      </c>
      <c r="G418">
        <v>39352.400000000001</v>
      </c>
      <c r="H418">
        <v>383331.89</v>
      </c>
      <c r="I418">
        <v>5.67</v>
      </c>
      <c r="J418">
        <v>251054.1</v>
      </c>
      <c r="K418">
        <v>5</v>
      </c>
      <c r="L418">
        <v>2264.66</v>
      </c>
      <c r="M418" t="s">
        <v>523</v>
      </c>
      <c r="N418">
        <v>18</v>
      </c>
    </row>
    <row r="419" spans="1:14" x14ac:dyDescent="0.3">
      <c r="A419">
        <v>100418</v>
      </c>
      <c r="B419">
        <v>1597499495</v>
      </c>
      <c r="C419" t="s">
        <v>431</v>
      </c>
      <c r="D419" t="s">
        <v>514</v>
      </c>
      <c r="E419" s="2">
        <v>45709</v>
      </c>
      <c r="F419" t="s">
        <v>517</v>
      </c>
      <c r="G419">
        <v>35530.21</v>
      </c>
      <c r="H419">
        <v>418488.48</v>
      </c>
      <c r="I419">
        <v>9.43</v>
      </c>
      <c r="J419">
        <v>995849.55</v>
      </c>
      <c r="K419">
        <v>7</v>
      </c>
      <c r="L419">
        <v>28111.24</v>
      </c>
      <c r="M419" t="s">
        <v>519</v>
      </c>
      <c r="N419">
        <v>18</v>
      </c>
    </row>
    <row r="420" spans="1:14" x14ac:dyDescent="0.3">
      <c r="A420">
        <v>100419</v>
      </c>
      <c r="B420">
        <v>5727876817</v>
      </c>
      <c r="C420" t="s">
        <v>432</v>
      </c>
      <c r="D420" t="s">
        <v>514</v>
      </c>
      <c r="E420" s="2">
        <v>45710</v>
      </c>
      <c r="F420" t="s">
        <v>518</v>
      </c>
      <c r="G420">
        <v>39536.44</v>
      </c>
      <c r="H420">
        <v>225816.26</v>
      </c>
      <c r="I420">
        <v>9.83</v>
      </c>
      <c r="J420">
        <v>982062.01</v>
      </c>
      <c r="K420">
        <v>2</v>
      </c>
      <c r="L420">
        <v>26502.02</v>
      </c>
      <c r="M420" t="s">
        <v>521</v>
      </c>
      <c r="N420">
        <v>18</v>
      </c>
    </row>
    <row r="421" spans="1:14" x14ac:dyDescent="0.3">
      <c r="A421">
        <v>100420</v>
      </c>
      <c r="B421">
        <v>2099578336</v>
      </c>
      <c r="C421" t="s">
        <v>433</v>
      </c>
      <c r="D421" t="s">
        <v>515</v>
      </c>
      <c r="E421" s="2">
        <v>45711</v>
      </c>
      <c r="F421" t="s">
        <v>518</v>
      </c>
      <c r="G421">
        <v>26104.82</v>
      </c>
      <c r="H421">
        <v>158143.29</v>
      </c>
      <c r="I421">
        <v>3.92</v>
      </c>
      <c r="J421">
        <v>667033.48</v>
      </c>
      <c r="K421">
        <v>11</v>
      </c>
      <c r="L421">
        <v>49734.52</v>
      </c>
      <c r="M421" t="s">
        <v>521</v>
      </c>
      <c r="N421">
        <v>18</v>
      </c>
    </row>
    <row r="422" spans="1:14" x14ac:dyDescent="0.3">
      <c r="A422">
        <v>100421</v>
      </c>
      <c r="B422">
        <v>8607446512</v>
      </c>
      <c r="C422" t="s">
        <v>434</v>
      </c>
      <c r="D422" t="s">
        <v>515</v>
      </c>
      <c r="E422" s="2">
        <v>45712</v>
      </c>
      <c r="F422" t="s">
        <v>517</v>
      </c>
      <c r="G422">
        <v>22289.85</v>
      </c>
      <c r="H422">
        <v>137074.1</v>
      </c>
      <c r="I422">
        <v>7.62</v>
      </c>
      <c r="J422">
        <v>814193.36</v>
      </c>
      <c r="K422">
        <v>13</v>
      </c>
      <c r="L422">
        <v>10890.25</v>
      </c>
      <c r="M422" t="s">
        <v>520</v>
      </c>
      <c r="N422">
        <v>18</v>
      </c>
    </row>
    <row r="423" spans="1:14" x14ac:dyDescent="0.3">
      <c r="A423">
        <v>100422</v>
      </c>
      <c r="B423">
        <v>5590983048</v>
      </c>
      <c r="C423" t="s">
        <v>435</v>
      </c>
      <c r="D423" t="s">
        <v>515</v>
      </c>
      <c r="E423" s="2">
        <v>45713</v>
      </c>
      <c r="F423" t="s">
        <v>517</v>
      </c>
      <c r="G423">
        <v>7798.9</v>
      </c>
      <c r="H423">
        <v>105365.68</v>
      </c>
      <c r="I423">
        <v>7.58</v>
      </c>
      <c r="J423">
        <v>729345.15</v>
      </c>
      <c r="K423">
        <v>5</v>
      </c>
      <c r="L423">
        <v>13647.09</v>
      </c>
      <c r="M423" t="s">
        <v>519</v>
      </c>
      <c r="N423">
        <v>18</v>
      </c>
    </row>
    <row r="424" spans="1:14" x14ac:dyDescent="0.3">
      <c r="A424">
        <v>100423</v>
      </c>
      <c r="B424">
        <v>5627058738</v>
      </c>
      <c r="C424" t="s">
        <v>436</v>
      </c>
      <c r="D424" t="s">
        <v>516</v>
      </c>
      <c r="E424" s="2">
        <v>45714</v>
      </c>
      <c r="F424" t="s">
        <v>517</v>
      </c>
      <c r="G424">
        <v>16745.54</v>
      </c>
      <c r="H424">
        <v>38247.32</v>
      </c>
      <c r="I424">
        <v>6.32</v>
      </c>
      <c r="J424">
        <v>613500.31000000006</v>
      </c>
      <c r="K424">
        <v>6</v>
      </c>
      <c r="L424">
        <v>6563.49</v>
      </c>
      <c r="M424" t="s">
        <v>521</v>
      </c>
      <c r="N424">
        <v>18</v>
      </c>
    </row>
    <row r="425" spans="1:14" x14ac:dyDescent="0.3">
      <c r="A425">
        <v>100424</v>
      </c>
      <c r="B425">
        <v>1447737293</v>
      </c>
      <c r="C425" t="s">
        <v>437</v>
      </c>
      <c r="D425" t="s">
        <v>514</v>
      </c>
      <c r="E425" s="2">
        <v>45715</v>
      </c>
      <c r="F425" t="s">
        <v>517</v>
      </c>
      <c r="G425">
        <v>21983.96</v>
      </c>
      <c r="H425">
        <v>177799.51</v>
      </c>
      <c r="I425">
        <v>11.4</v>
      </c>
      <c r="J425">
        <v>100680.6</v>
      </c>
      <c r="K425">
        <v>14</v>
      </c>
      <c r="L425">
        <v>45959.61</v>
      </c>
      <c r="M425" t="s">
        <v>522</v>
      </c>
      <c r="N425">
        <v>18</v>
      </c>
    </row>
    <row r="426" spans="1:14" x14ac:dyDescent="0.3">
      <c r="A426">
        <v>100425</v>
      </c>
      <c r="B426">
        <v>9206334730</v>
      </c>
      <c r="C426" t="s">
        <v>438</v>
      </c>
      <c r="D426" t="s">
        <v>516</v>
      </c>
      <c r="E426" s="2">
        <v>45716</v>
      </c>
      <c r="F426" t="s">
        <v>518</v>
      </c>
      <c r="G426">
        <v>4885.72</v>
      </c>
      <c r="H426">
        <v>142421.37</v>
      </c>
      <c r="I426">
        <v>10.45</v>
      </c>
      <c r="J426">
        <v>482026.13</v>
      </c>
      <c r="K426">
        <v>12</v>
      </c>
      <c r="L426">
        <v>39112.75</v>
      </c>
      <c r="M426" t="s">
        <v>520</v>
      </c>
      <c r="N426">
        <v>18</v>
      </c>
    </row>
    <row r="427" spans="1:14" x14ac:dyDescent="0.3">
      <c r="A427">
        <v>100426</v>
      </c>
      <c r="B427">
        <v>6308175972</v>
      </c>
      <c r="C427" t="s">
        <v>439</v>
      </c>
      <c r="D427" t="s">
        <v>516</v>
      </c>
      <c r="E427" s="2">
        <v>45717</v>
      </c>
      <c r="F427" t="s">
        <v>517</v>
      </c>
      <c r="G427">
        <v>11420.29</v>
      </c>
      <c r="H427">
        <v>483544.52</v>
      </c>
      <c r="I427">
        <v>9.27</v>
      </c>
      <c r="J427">
        <v>691046.99</v>
      </c>
      <c r="K427">
        <v>4</v>
      </c>
      <c r="L427">
        <v>41294.620000000003</v>
      </c>
      <c r="M427" t="s">
        <v>523</v>
      </c>
      <c r="N427">
        <v>18</v>
      </c>
    </row>
    <row r="428" spans="1:14" x14ac:dyDescent="0.3">
      <c r="A428">
        <v>100427</v>
      </c>
      <c r="B428">
        <v>1710905177</v>
      </c>
      <c r="C428" t="s">
        <v>440</v>
      </c>
      <c r="D428" t="s">
        <v>515</v>
      </c>
      <c r="E428" s="2">
        <v>45718</v>
      </c>
      <c r="F428" t="s">
        <v>517</v>
      </c>
      <c r="G428">
        <v>30112.15</v>
      </c>
      <c r="H428">
        <v>283277.32</v>
      </c>
      <c r="I428">
        <v>9.43</v>
      </c>
      <c r="J428">
        <v>693655.03</v>
      </c>
      <c r="K428">
        <v>6</v>
      </c>
      <c r="L428">
        <v>45235.43</v>
      </c>
      <c r="M428" t="s">
        <v>520</v>
      </c>
      <c r="N428">
        <v>18</v>
      </c>
    </row>
    <row r="429" spans="1:14" x14ac:dyDescent="0.3">
      <c r="A429">
        <v>100428</v>
      </c>
      <c r="B429">
        <v>6095209379</v>
      </c>
      <c r="C429" t="s">
        <v>441</v>
      </c>
      <c r="D429" t="s">
        <v>516</v>
      </c>
      <c r="E429" s="2">
        <v>45719</v>
      </c>
      <c r="F429" t="s">
        <v>517</v>
      </c>
      <c r="G429">
        <v>36915.32</v>
      </c>
      <c r="H429">
        <v>180165.75</v>
      </c>
      <c r="I429">
        <v>7.16</v>
      </c>
      <c r="J429">
        <v>404466.49</v>
      </c>
      <c r="K429">
        <v>10</v>
      </c>
      <c r="L429">
        <v>26720.1</v>
      </c>
      <c r="M429" t="s">
        <v>522</v>
      </c>
      <c r="N429">
        <v>18</v>
      </c>
    </row>
    <row r="430" spans="1:14" x14ac:dyDescent="0.3">
      <c r="A430">
        <v>100429</v>
      </c>
      <c r="B430">
        <v>8891962838</v>
      </c>
      <c r="C430" t="s">
        <v>442</v>
      </c>
      <c r="D430" t="s">
        <v>515</v>
      </c>
      <c r="E430" s="2">
        <v>45720</v>
      </c>
      <c r="F430" t="s">
        <v>517</v>
      </c>
      <c r="G430">
        <v>49918.2</v>
      </c>
      <c r="H430">
        <v>294429.12</v>
      </c>
      <c r="I430">
        <v>11.29</v>
      </c>
      <c r="J430">
        <v>944607.39</v>
      </c>
      <c r="K430">
        <v>18</v>
      </c>
      <c r="L430">
        <v>23108.47</v>
      </c>
      <c r="M430" t="s">
        <v>519</v>
      </c>
      <c r="N430">
        <v>18</v>
      </c>
    </row>
    <row r="431" spans="1:14" x14ac:dyDescent="0.3">
      <c r="A431">
        <v>100430</v>
      </c>
      <c r="B431">
        <v>2426557952</v>
      </c>
      <c r="C431" t="s">
        <v>443</v>
      </c>
      <c r="D431" t="s">
        <v>514</v>
      </c>
      <c r="E431" s="2">
        <v>45721</v>
      </c>
      <c r="F431" t="s">
        <v>518</v>
      </c>
      <c r="G431">
        <v>46689.11</v>
      </c>
      <c r="H431">
        <v>78206.38</v>
      </c>
      <c r="I431">
        <v>9.25</v>
      </c>
      <c r="J431">
        <v>208989.18</v>
      </c>
      <c r="K431">
        <v>15</v>
      </c>
      <c r="L431">
        <v>17189.18</v>
      </c>
      <c r="M431" t="s">
        <v>523</v>
      </c>
      <c r="N431">
        <v>18</v>
      </c>
    </row>
    <row r="432" spans="1:14" x14ac:dyDescent="0.3">
      <c r="A432">
        <v>100431</v>
      </c>
      <c r="B432">
        <v>2629105582</v>
      </c>
      <c r="C432" t="s">
        <v>444</v>
      </c>
      <c r="D432" t="s">
        <v>515</v>
      </c>
      <c r="E432" s="2">
        <v>45722</v>
      </c>
      <c r="F432" t="s">
        <v>517</v>
      </c>
      <c r="G432">
        <v>32306.98</v>
      </c>
      <c r="H432">
        <v>227581.44</v>
      </c>
      <c r="I432">
        <v>9.56</v>
      </c>
      <c r="J432">
        <v>525341.47</v>
      </c>
      <c r="K432">
        <v>8</v>
      </c>
      <c r="L432">
        <v>29871.52</v>
      </c>
      <c r="M432" t="s">
        <v>523</v>
      </c>
      <c r="N432">
        <v>18</v>
      </c>
    </row>
    <row r="433" spans="1:14" x14ac:dyDescent="0.3">
      <c r="A433">
        <v>100432</v>
      </c>
      <c r="B433">
        <v>4196527924</v>
      </c>
      <c r="C433" t="s">
        <v>445</v>
      </c>
      <c r="D433" t="s">
        <v>516</v>
      </c>
      <c r="E433" s="2">
        <v>45723</v>
      </c>
      <c r="F433" t="s">
        <v>517</v>
      </c>
      <c r="G433">
        <v>21351.78</v>
      </c>
      <c r="H433">
        <v>316854.82</v>
      </c>
      <c r="I433">
        <v>10.76</v>
      </c>
      <c r="J433">
        <v>706339.78</v>
      </c>
      <c r="K433">
        <v>9</v>
      </c>
      <c r="L433">
        <v>23259.64</v>
      </c>
      <c r="M433" t="s">
        <v>519</v>
      </c>
      <c r="N433">
        <v>18</v>
      </c>
    </row>
    <row r="434" spans="1:14" x14ac:dyDescent="0.3">
      <c r="A434">
        <v>100433</v>
      </c>
      <c r="B434">
        <v>1882958537</v>
      </c>
      <c r="C434" t="s">
        <v>446</v>
      </c>
      <c r="D434" t="s">
        <v>516</v>
      </c>
      <c r="E434" s="2">
        <v>45724</v>
      </c>
      <c r="F434" t="s">
        <v>518</v>
      </c>
      <c r="G434">
        <v>31990.78</v>
      </c>
      <c r="H434">
        <v>249559.94</v>
      </c>
      <c r="I434">
        <v>5.47</v>
      </c>
      <c r="J434">
        <v>712279.02</v>
      </c>
      <c r="K434">
        <v>5</v>
      </c>
      <c r="L434">
        <v>23126.71</v>
      </c>
      <c r="M434" t="s">
        <v>520</v>
      </c>
      <c r="N434">
        <v>18</v>
      </c>
    </row>
    <row r="435" spans="1:14" x14ac:dyDescent="0.3">
      <c r="A435">
        <v>100434</v>
      </c>
      <c r="B435">
        <v>3592964249</v>
      </c>
      <c r="C435" t="s">
        <v>447</v>
      </c>
      <c r="D435" t="s">
        <v>515</v>
      </c>
      <c r="E435" s="2">
        <v>45725</v>
      </c>
      <c r="F435" t="s">
        <v>518</v>
      </c>
      <c r="G435">
        <v>39389.760000000002</v>
      </c>
      <c r="H435">
        <v>206871.61</v>
      </c>
      <c r="I435">
        <v>10.26</v>
      </c>
      <c r="J435">
        <v>666207.01</v>
      </c>
      <c r="K435">
        <v>10</v>
      </c>
      <c r="L435">
        <v>46909.47</v>
      </c>
      <c r="M435" t="s">
        <v>521</v>
      </c>
      <c r="N435">
        <v>18</v>
      </c>
    </row>
    <row r="436" spans="1:14" x14ac:dyDescent="0.3">
      <c r="A436">
        <v>100435</v>
      </c>
      <c r="B436">
        <v>1490774306</v>
      </c>
      <c r="C436" t="s">
        <v>448</v>
      </c>
      <c r="D436" t="s">
        <v>515</v>
      </c>
      <c r="E436" s="2">
        <v>45726</v>
      </c>
      <c r="F436" t="s">
        <v>518</v>
      </c>
      <c r="G436">
        <v>6357.64</v>
      </c>
      <c r="H436">
        <v>496985.71</v>
      </c>
      <c r="I436">
        <v>4.76</v>
      </c>
      <c r="J436">
        <v>311523.8</v>
      </c>
      <c r="K436">
        <v>6</v>
      </c>
      <c r="L436">
        <v>49217.54</v>
      </c>
      <c r="M436" t="s">
        <v>520</v>
      </c>
      <c r="N436">
        <v>18</v>
      </c>
    </row>
    <row r="437" spans="1:14" x14ac:dyDescent="0.3">
      <c r="A437">
        <v>100436</v>
      </c>
      <c r="B437">
        <v>4708782169</v>
      </c>
      <c r="C437" t="s">
        <v>449</v>
      </c>
      <c r="D437" t="s">
        <v>516</v>
      </c>
      <c r="E437" s="2">
        <v>45727</v>
      </c>
      <c r="F437" t="s">
        <v>517</v>
      </c>
      <c r="G437">
        <v>20790.29</v>
      </c>
      <c r="H437">
        <v>441354.23</v>
      </c>
      <c r="I437">
        <v>6.11</v>
      </c>
      <c r="J437">
        <v>198396.24</v>
      </c>
      <c r="K437">
        <v>16</v>
      </c>
      <c r="L437">
        <v>40027.74</v>
      </c>
      <c r="M437" t="s">
        <v>522</v>
      </c>
      <c r="N437">
        <v>18</v>
      </c>
    </row>
    <row r="438" spans="1:14" x14ac:dyDescent="0.3">
      <c r="A438">
        <v>100437</v>
      </c>
      <c r="B438">
        <v>7295134086</v>
      </c>
      <c r="C438" t="s">
        <v>450</v>
      </c>
      <c r="D438" t="s">
        <v>514</v>
      </c>
      <c r="E438" s="2">
        <v>45728</v>
      </c>
      <c r="F438" t="s">
        <v>517</v>
      </c>
      <c r="G438">
        <v>42070.21</v>
      </c>
      <c r="H438">
        <v>315468.92</v>
      </c>
      <c r="I438">
        <v>6.02</v>
      </c>
      <c r="J438">
        <v>654143.31000000006</v>
      </c>
      <c r="K438">
        <v>3</v>
      </c>
      <c r="L438">
        <v>38081.15</v>
      </c>
      <c r="M438" t="s">
        <v>521</v>
      </c>
      <c r="N438">
        <v>18</v>
      </c>
    </row>
    <row r="439" spans="1:14" x14ac:dyDescent="0.3">
      <c r="A439">
        <v>100438</v>
      </c>
      <c r="B439">
        <v>7360146394</v>
      </c>
      <c r="C439" t="s">
        <v>451</v>
      </c>
      <c r="D439" t="s">
        <v>514</v>
      </c>
      <c r="E439" s="2">
        <v>45729</v>
      </c>
      <c r="F439" t="s">
        <v>518</v>
      </c>
      <c r="G439">
        <v>19499.73</v>
      </c>
      <c r="H439">
        <v>288994.90999999997</v>
      </c>
      <c r="I439">
        <v>11.81</v>
      </c>
      <c r="J439">
        <v>619337.01</v>
      </c>
      <c r="K439">
        <v>10</v>
      </c>
      <c r="L439">
        <v>34347.35</v>
      </c>
      <c r="M439" t="s">
        <v>520</v>
      </c>
      <c r="N439">
        <v>18</v>
      </c>
    </row>
    <row r="440" spans="1:14" x14ac:dyDescent="0.3">
      <c r="A440">
        <v>100439</v>
      </c>
      <c r="B440">
        <v>9239700314</v>
      </c>
      <c r="C440" t="s">
        <v>452</v>
      </c>
      <c r="D440" t="s">
        <v>515</v>
      </c>
      <c r="E440" s="2">
        <v>45730</v>
      </c>
      <c r="F440" t="s">
        <v>518</v>
      </c>
      <c r="G440">
        <v>28807.68</v>
      </c>
      <c r="H440">
        <v>314123.64</v>
      </c>
      <c r="I440">
        <v>10.71</v>
      </c>
      <c r="J440">
        <v>220388.21</v>
      </c>
      <c r="K440">
        <v>11</v>
      </c>
      <c r="L440">
        <v>9137.67</v>
      </c>
      <c r="M440" t="s">
        <v>519</v>
      </c>
      <c r="N440">
        <v>18</v>
      </c>
    </row>
    <row r="441" spans="1:14" x14ac:dyDescent="0.3">
      <c r="A441">
        <v>100440</v>
      </c>
      <c r="B441">
        <v>3521438847</v>
      </c>
      <c r="C441" t="s">
        <v>453</v>
      </c>
      <c r="D441" t="s">
        <v>514</v>
      </c>
      <c r="E441" s="2">
        <v>45731</v>
      </c>
      <c r="F441" t="s">
        <v>518</v>
      </c>
      <c r="G441">
        <v>29594.58</v>
      </c>
      <c r="H441">
        <v>108642.93</v>
      </c>
      <c r="I441">
        <v>9.31</v>
      </c>
      <c r="J441">
        <v>719882.19</v>
      </c>
      <c r="K441">
        <v>11</v>
      </c>
      <c r="L441">
        <v>3896.19</v>
      </c>
      <c r="M441" t="s">
        <v>522</v>
      </c>
      <c r="N441">
        <v>18</v>
      </c>
    </row>
    <row r="442" spans="1:14" x14ac:dyDescent="0.3">
      <c r="A442">
        <v>100441</v>
      </c>
      <c r="B442">
        <v>9731009978</v>
      </c>
      <c r="C442" t="s">
        <v>454</v>
      </c>
      <c r="D442" t="s">
        <v>516</v>
      </c>
      <c r="E442" s="2">
        <v>45732</v>
      </c>
      <c r="F442" t="s">
        <v>518</v>
      </c>
      <c r="G442">
        <v>9631.57</v>
      </c>
      <c r="H442">
        <v>203617.49</v>
      </c>
      <c r="I442">
        <v>9.5399999999999991</v>
      </c>
      <c r="J442">
        <v>482413.39</v>
      </c>
      <c r="K442">
        <v>17</v>
      </c>
      <c r="L442">
        <v>34845.589999999997</v>
      </c>
      <c r="M442" t="s">
        <v>522</v>
      </c>
      <c r="N442">
        <v>18</v>
      </c>
    </row>
    <row r="443" spans="1:14" x14ac:dyDescent="0.3">
      <c r="A443">
        <v>100442</v>
      </c>
      <c r="B443">
        <v>5440477172</v>
      </c>
      <c r="C443" t="s">
        <v>455</v>
      </c>
      <c r="D443" t="s">
        <v>515</v>
      </c>
      <c r="E443" s="2">
        <v>45733</v>
      </c>
      <c r="F443" t="s">
        <v>518</v>
      </c>
      <c r="G443">
        <v>18430.650000000001</v>
      </c>
      <c r="H443">
        <v>29335.17</v>
      </c>
      <c r="I443">
        <v>8.06</v>
      </c>
      <c r="J443">
        <v>684372.56</v>
      </c>
      <c r="K443">
        <v>4</v>
      </c>
      <c r="L443">
        <v>36710.519999999997</v>
      </c>
      <c r="M443" t="s">
        <v>522</v>
      </c>
      <c r="N443">
        <v>18</v>
      </c>
    </row>
    <row r="444" spans="1:14" x14ac:dyDescent="0.3">
      <c r="A444">
        <v>100443</v>
      </c>
      <c r="B444">
        <v>4352203548</v>
      </c>
      <c r="C444" t="s">
        <v>456</v>
      </c>
      <c r="D444" t="s">
        <v>516</v>
      </c>
      <c r="E444" s="2">
        <v>45734</v>
      </c>
      <c r="F444" t="s">
        <v>518</v>
      </c>
      <c r="G444">
        <v>17058.310000000001</v>
      </c>
      <c r="H444">
        <v>243017.56</v>
      </c>
      <c r="I444">
        <v>11.52</v>
      </c>
      <c r="J444">
        <v>845498.73</v>
      </c>
      <c r="K444">
        <v>4</v>
      </c>
      <c r="L444">
        <v>3301.68</v>
      </c>
      <c r="M444" t="s">
        <v>521</v>
      </c>
      <c r="N444">
        <v>18</v>
      </c>
    </row>
    <row r="445" spans="1:14" x14ac:dyDescent="0.3">
      <c r="A445">
        <v>100444</v>
      </c>
      <c r="B445">
        <v>6240277657</v>
      </c>
      <c r="C445" t="s">
        <v>457</v>
      </c>
      <c r="D445" t="s">
        <v>516</v>
      </c>
      <c r="E445" s="2">
        <v>45735</v>
      </c>
      <c r="F445" t="s">
        <v>517</v>
      </c>
      <c r="G445">
        <v>1796.74</v>
      </c>
      <c r="H445">
        <v>276082.05</v>
      </c>
      <c r="I445">
        <v>7.47</v>
      </c>
      <c r="J445">
        <v>211242.01</v>
      </c>
      <c r="K445">
        <v>17</v>
      </c>
      <c r="L445">
        <v>46474.54</v>
      </c>
      <c r="M445" t="s">
        <v>523</v>
      </c>
      <c r="N445">
        <v>18</v>
      </c>
    </row>
    <row r="446" spans="1:14" x14ac:dyDescent="0.3">
      <c r="A446">
        <v>100445</v>
      </c>
      <c r="B446">
        <v>3212654128</v>
      </c>
      <c r="C446" t="s">
        <v>458</v>
      </c>
      <c r="D446" t="s">
        <v>514</v>
      </c>
      <c r="E446" s="2">
        <v>45736</v>
      </c>
      <c r="F446" t="s">
        <v>517</v>
      </c>
      <c r="G446">
        <v>1697.49</v>
      </c>
      <c r="H446">
        <v>121597.37</v>
      </c>
      <c r="I446">
        <v>6.42</v>
      </c>
      <c r="J446">
        <v>68187.62</v>
      </c>
      <c r="K446">
        <v>9</v>
      </c>
      <c r="L446">
        <v>5465.89</v>
      </c>
      <c r="M446" t="s">
        <v>521</v>
      </c>
      <c r="N446">
        <v>18</v>
      </c>
    </row>
    <row r="447" spans="1:14" x14ac:dyDescent="0.3">
      <c r="A447">
        <v>100446</v>
      </c>
      <c r="B447">
        <v>3393608339</v>
      </c>
      <c r="C447" t="s">
        <v>459</v>
      </c>
      <c r="D447" t="s">
        <v>515</v>
      </c>
      <c r="E447" s="2">
        <v>45737</v>
      </c>
      <c r="F447" t="s">
        <v>517</v>
      </c>
      <c r="G447">
        <v>41669</v>
      </c>
      <c r="H447">
        <v>482374.14</v>
      </c>
      <c r="I447">
        <v>4.47</v>
      </c>
      <c r="J447">
        <v>790147.46</v>
      </c>
      <c r="K447">
        <v>19</v>
      </c>
      <c r="L447">
        <v>15009.13</v>
      </c>
      <c r="M447" t="s">
        <v>520</v>
      </c>
      <c r="N447">
        <v>18</v>
      </c>
    </row>
    <row r="448" spans="1:14" x14ac:dyDescent="0.3">
      <c r="A448">
        <v>100447</v>
      </c>
      <c r="B448">
        <v>8991353685</v>
      </c>
      <c r="C448" t="s">
        <v>460</v>
      </c>
      <c r="D448" t="s">
        <v>515</v>
      </c>
      <c r="E448" s="2">
        <v>45738</v>
      </c>
      <c r="F448" t="s">
        <v>518</v>
      </c>
      <c r="G448">
        <v>14017.01</v>
      </c>
      <c r="H448">
        <v>455632.76</v>
      </c>
      <c r="I448">
        <v>10.08</v>
      </c>
      <c r="J448">
        <v>629212.55000000005</v>
      </c>
      <c r="K448">
        <v>5</v>
      </c>
      <c r="L448">
        <v>33947.1</v>
      </c>
      <c r="M448" t="s">
        <v>523</v>
      </c>
      <c r="N448">
        <v>18</v>
      </c>
    </row>
    <row r="449" spans="1:14" x14ac:dyDescent="0.3">
      <c r="A449">
        <v>100448</v>
      </c>
      <c r="B449">
        <v>1792261991</v>
      </c>
      <c r="C449" t="s">
        <v>461</v>
      </c>
      <c r="D449" t="s">
        <v>514</v>
      </c>
      <c r="E449" s="2">
        <v>45739</v>
      </c>
      <c r="F449" t="s">
        <v>518</v>
      </c>
      <c r="G449">
        <v>26144.9</v>
      </c>
      <c r="H449">
        <v>363850.19</v>
      </c>
      <c r="I449">
        <v>9.61</v>
      </c>
      <c r="J449">
        <v>714657.59</v>
      </c>
      <c r="K449">
        <v>6</v>
      </c>
      <c r="L449">
        <v>9323.76</v>
      </c>
      <c r="M449" t="s">
        <v>520</v>
      </c>
      <c r="N449">
        <v>18</v>
      </c>
    </row>
    <row r="450" spans="1:14" x14ac:dyDescent="0.3">
      <c r="A450">
        <v>100449</v>
      </c>
      <c r="B450">
        <v>2286754630</v>
      </c>
      <c r="C450" t="s">
        <v>462</v>
      </c>
      <c r="D450" t="s">
        <v>516</v>
      </c>
      <c r="E450" s="2">
        <v>45740</v>
      </c>
      <c r="F450" t="s">
        <v>518</v>
      </c>
      <c r="G450">
        <v>15286.92</v>
      </c>
      <c r="H450">
        <v>271359.45</v>
      </c>
      <c r="I450">
        <v>6.46</v>
      </c>
      <c r="J450">
        <v>846247.23</v>
      </c>
      <c r="K450">
        <v>3</v>
      </c>
      <c r="L450">
        <v>3715.38</v>
      </c>
      <c r="M450" t="s">
        <v>523</v>
      </c>
      <c r="N450">
        <v>18</v>
      </c>
    </row>
    <row r="451" spans="1:14" x14ac:dyDescent="0.3">
      <c r="A451">
        <v>100450</v>
      </c>
      <c r="B451">
        <v>2331168991</v>
      </c>
      <c r="C451" t="s">
        <v>463</v>
      </c>
      <c r="D451" t="s">
        <v>516</v>
      </c>
      <c r="E451" s="2">
        <v>45741</v>
      </c>
      <c r="F451" t="s">
        <v>518</v>
      </c>
      <c r="G451">
        <v>47063.62</v>
      </c>
      <c r="H451">
        <v>436284.89</v>
      </c>
      <c r="I451">
        <v>3.23</v>
      </c>
      <c r="J451">
        <v>812670.39</v>
      </c>
      <c r="K451">
        <v>1</v>
      </c>
      <c r="L451">
        <v>17226.18</v>
      </c>
      <c r="M451" t="s">
        <v>521</v>
      </c>
      <c r="N451">
        <v>18</v>
      </c>
    </row>
    <row r="452" spans="1:14" x14ac:dyDescent="0.3">
      <c r="A452">
        <v>100451</v>
      </c>
      <c r="B452">
        <v>2706468317</v>
      </c>
      <c r="C452" t="s">
        <v>464</v>
      </c>
      <c r="D452" t="s">
        <v>516</v>
      </c>
      <c r="E452" s="2">
        <v>45742</v>
      </c>
      <c r="F452" t="s">
        <v>518</v>
      </c>
      <c r="G452">
        <v>13335.19</v>
      </c>
      <c r="H452">
        <v>74019.649999999994</v>
      </c>
      <c r="I452">
        <v>10.55</v>
      </c>
      <c r="J452">
        <v>962874.14</v>
      </c>
      <c r="K452">
        <v>16</v>
      </c>
      <c r="L452">
        <v>38532.61</v>
      </c>
      <c r="M452" t="s">
        <v>522</v>
      </c>
      <c r="N452">
        <v>18</v>
      </c>
    </row>
    <row r="453" spans="1:14" x14ac:dyDescent="0.3">
      <c r="A453">
        <v>100452</v>
      </c>
      <c r="B453">
        <v>3684251440</v>
      </c>
      <c r="C453" t="s">
        <v>465</v>
      </c>
      <c r="D453" t="s">
        <v>516</v>
      </c>
      <c r="E453" s="2">
        <v>45743</v>
      </c>
      <c r="F453" t="s">
        <v>518</v>
      </c>
      <c r="G453">
        <v>21768.01</v>
      </c>
      <c r="H453">
        <v>397349.8</v>
      </c>
      <c r="I453">
        <v>3.1</v>
      </c>
      <c r="J453">
        <v>559138.31999999995</v>
      </c>
      <c r="K453">
        <v>11</v>
      </c>
      <c r="L453">
        <v>21270.26</v>
      </c>
      <c r="M453" t="s">
        <v>519</v>
      </c>
      <c r="N453">
        <v>18</v>
      </c>
    </row>
    <row r="454" spans="1:14" x14ac:dyDescent="0.3">
      <c r="A454">
        <v>100453</v>
      </c>
      <c r="B454">
        <v>2622320604</v>
      </c>
      <c r="C454" t="s">
        <v>466</v>
      </c>
      <c r="D454" t="s">
        <v>515</v>
      </c>
      <c r="E454" s="2">
        <v>45744</v>
      </c>
      <c r="F454" t="s">
        <v>517</v>
      </c>
      <c r="G454">
        <v>43700.15</v>
      </c>
      <c r="H454">
        <v>71162.2</v>
      </c>
      <c r="I454">
        <v>9.33</v>
      </c>
      <c r="J454">
        <v>514070.85</v>
      </c>
      <c r="K454">
        <v>13</v>
      </c>
      <c r="L454">
        <v>32995.67</v>
      </c>
      <c r="M454" t="s">
        <v>522</v>
      </c>
      <c r="N454">
        <v>18</v>
      </c>
    </row>
    <row r="455" spans="1:14" x14ac:dyDescent="0.3">
      <c r="A455">
        <v>100454</v>
      </c>
      <c r="B455">
        <v>8887985807</v>
      </c>
      <c r="C455" t="s">
        <v>467</v>
      </c>
      <c r="D455" t="s">
        <v>515</v>
      </c>
      <c r="E455" s="2">
        <v>45745</v>
      </c>
      <c r="F455" t="s">
        <v>517</v>
      </c>
      <c r="G455">
        <v>42175.71</v>
      </c>
      <c r="H455">
        <v>399163.22</v>
      </c>
      <c r="I455">
        <v>11.73</v>
      </c>
      <c r="J455">
        <v>431792.84</v>
      </c>
      <c r="K455">
        <v>10</v>
      </c>
      <c r="L455">
        <v>29401.34</v>
      </c>
      <c r="M455" t="s">
        <v>521</v>
      </c>
      <c r="N455">
        <v>18</v>
      </c>
    </row>
    <row r="456" spans="1:14" x14ac:dyDescent="0.3">
      <c r="A456">
        <v>100455</v>
      </c>
      <c r="B456">
        <v>6557879552</v>
      </c>
      <c r="C456" t="s">
        <v>468</v>
      </c>
      <c r="D456" t="s">
        <v>514</v>
      </c>
      <c r="E456" s="2">
        <v>45746</v>
      </c>
      <c r="F456" t="s">
        <v>518</v>
      </c>
      <c r="G456">
        <v>9712.02</v>
      </c>
      <c r="H456">
        <v>145126.10999999999</v>
      </c>
      <c r="I456">
        <v>6.94</v>
      </c>
      <c r="J456">
        <v>196006.49</v>
      </c>
      <c r="K456">
        <v>3</v>
      </c>
      <c r="L456">
        <v>2088.71</v>
      </c>
      <c r="M456" t="s">
        <v>523</v>
      </c>
      <c r="N456">
        <v>18</v>
      </c>
    </row>
    <row r="457" spans="1:14" x14ac:dyDescent="0.3">
      <c r="A457">
        <v>100456</v>
      </c>
      <c r="B457">
        <v>8361828210</v>
      </c>
      <c r="C457" t="s">
        <v>469</v>
      </c>
      <c r="D457" t="s">
        <v>514</v>
      </c>
      <c r="E457" s="2">
        <v>45747</v>
      </c>
      <c r="F457" t="s">
        <v>517</v>
      </c>
      <c r="G457">
        <v>40230.839999999997</v>
      </c>
      <c r="H457">
        <v>439774.38</v>
      </c>
      <c r="I457">
        <v>5.1100000000000003</v>
      </c>
      <c r="J457">
        <v>593976.87</v>
      </c>
      <c r="K457">
        <v>9</v>
      </c>
      <c r="L457">
        <v>49438.46</v>
      </c>
      <c r="M457" t="s">
        <v>522</v>
      </c>
      <c r="N457">
        <v>18</v>
      </c>
    </row>
    <row r="458" spans="1:14" x14ac:dyDescent="0.3">
      <c r="A458">
        <v>100457</v>
      </c>
      <c r="B458">
        <v>7590437877</v>
      </c>
      <c r="C458" t="s">
        <v>470</v>
      </c>
      <c r="D458" t="s">
        <v>515</v>
      </c>
      <c r="E458" s="2">
        <v>45748</v>
      </c>
      <c r="F458" t="s">
        <v>518</v>
      </c>
      <c r="G458">
        <v>23180.25</v>
      </c>
      <c r="H458">
        <v>472580.63</v>
      </c>
      <c r="I458">
        <v>9.34</v>
      </c>
      <c r="J458">
        <v>313161.90000000002</v>
      </c>
      <c r="K458">
        <v>12</v>
      </c>
      <c r="L458">
        <v>3029.98</v>
      </c>
      <c r="M458" t="s">
        <v>521</v>
      </c>
      <c r="N458">
        <v>18</v>
      </c>
    </row>
    <row r="459" spans="1:14" x14ac:dyDescent="0.3">
      <c r="A459">
        <v>100458</v>
      </c>
      <c r="B459">
        <v>7429617373</v>
      </c>
      <c r="C459" t="s">
        <v>471</v>
      </c>
      <c r="D459" t="s">
        <v>515</v>
      </c>
      <c r="E459" s="2">
        <v>45749</v>
      </c>
      <c r="F459" t="s">
        <v>517</v>
      </c>
      <c r="G459">
        <v>24406.959999999999</v>
      </c>
      <c r="H459">
        <v>82910.03</v>
      </c>
      <c r="I459">
        <v>10.35</v>
      </c>
      <c r="J459">
        <v>925242.14</v>
      </c>
      <c r="K459">
        <v>14</v>
      </c>
      <c r="L459">
        <v>48422.33</v>
      </c>
      <c r="M459" t="s">
        <v>520</v>
      </c>
      <c r="N459">
        <v>18</v>
      </c>
    </row>
    <row r="460" spans="1:14" x14ac:dyDescent="0.3">
      <c r="A460">
        <v>100459</v>
      </c>
      <c r="B460">
        <v>8582147506</v>
      </c>
      <c r="C460" t="s">
        <v>472</v>
      </c>
      <c r="D460" t="s">
        <v>516</v>
      </c>
      <c r="E460" s="2">
        <v>45750</v>
      </c>
      <c r="F460" t="s">
        <v>518</v>
      </c>
      <c r="G460">
        <v>7107.26</v>
      </c>
      <c r="H460">
        <v>236711.05</v>
      </c>
      <c r="I460">
        <v>7.92</v>
      </c>
      <c r="J460">
        <v>604031.26</v>
      </c>
      <c r="K460">
        <v>1</v>
      </c>
      <c r="L460">
        <v>27943.34</v>
      </c>
      <c r="M460" t="s">
        <v>519</v>
      </c>
      <c r="N460">
        <v>18</v>
      </c>
    </row>
    <row r="461" spans="1:14" x14ac:dyDescent="0.3">
      <c r="A461">
        <v>100460</v>
      </c>
      <c r="B461">
        <v>2436077319</v>
      </c>
      <c r="C461" t="s">
        <v>473</v>
      </c>
      <c r="D461" t="s">
        <v>516</v>
      </c>
      <c r="E461" s="2">
        <v>45751</v>
      </c>
      <c r="F461" t="s">
        <v>518</v>
      </c>
      <c r="G461">
        <v>4489.7700000000004</v>
      </c>
      <c r="H461">
        <v>490683.82</v>
      </c>
      <c r="I461">
        <v>11.7</v>
      </c>
      <c r="J461">
        <v>613198.17000000004</v>
      </c>
      <c r="K461">
        <v>18</v>
      </c>
      <c r="L461">
        <v>48194.79</v>
      </c>
      <c r="M461" t="s">
        <v>522</v>
      </c>
      <c r="N461">
        <v>18</v>
      </c>
    </row>
    <row r="462" spans="1:14" x14ac:dyDescent="0.3">
      <c r="A462">
        <v>100461</v>
      </c>
      <c r="B462">
        <v>1324284470</v>
      </c>
      <c r="C462" t="s">
        <v>474</v>
      </c>
      <c r="D462" t="s">
        <v>514</v>
      </c>
      <c r="E462" s="2">
        <v>45752</v>
      </c>
      <c r="F462" t="s">
        <v>517</v>
      </c>
      <c r="G462">
        <v>36533</v>
      </c>
      <c r="H462">
        <v>246869.64</v>
      </c>
      <c r="I462">
        <v>3.47</v>
      </c>
      <c r="J462">
        <v>387178.43</v>
      </c>
      <c r="K462">
        <v>17</v>
      </c>
      <c r="L462">
        <v>6622.93</v>
      </c>
      <c r="M462" t="s">
        <v>523</v>
      </c>
      <c r="N462">
        <v>18</v>
      </c>
    </row>
    <row r="463" spans="1:14" x14ac:dyDescent="0.3">
      <c r="A463">
        <v>100462</v>
      </c>
      <c r="B463">
        <v>9149401554</v>
      </c>
      <c r="C463" t="s">
        <v>475</v>
      </c>
      <c r="D463" t="s">
        <v>515</v>
      </c>
      <c r="E463" s="2">
        <v>45753</v>
      </c>
      <c r="F463" t="s">
        <v>517</v>
      </c>
      <c r="G463">
        <v>25074.83</v>
      </c>
      <c r="H463">
        <v>433138.29</v>
      </c>
      <c r="I463">
        <v>7.54</v>
      </c>
      <c r="J463">
        <v>99389.88</v>
      </c>
      <c r="K463">
        <v>9</v>
      </c>
      <c r="L463">
        <v>25030.02</v>
      </c>
      <c r="M463" t="s">
        <v>520</v>
      </c>
      <c r="N463">
        <v>18</v>
      </c>
    </row>
    <row r="464" spans="1:14" x14ac:dyDescent="0.3">
      <c r="A464">
        <v>100463</v>
      </c>
      <c r="B464">
        <v>7556604577</v>
      </c>
      <c r="C464" t="s">
        <v>476</v>
      </c>
      <c r="D464" t="s">
        <v>514</v>
      </c>
      <c r="E464" s="2">
        <v>45754</v>
      </c>
      <c r="F464" t="s">
        <v>518</v>
      </c>
      <c r="G464">
        <v>22124.11</v>
      </c>
      <c r="H464">
        <v>298478.45</v>
      </c>
      <c r="I464">
        <v>9.4700000000000006</v>
      </c>
      <c r="J464">
        <v>80156.58</v>
      </c>
      <c r="K464">
        <v>9</v>
      </c>
      <c r="L464">
        <v>9305.7000000000007</v>
      </c>
      <c r="M464" t="s">
        <v>521</v>
      </c>
      <c r="N464">
        <v>18</v>
      </c>
    </row>
    <row r="465" spans="1:14" x14ac:dyDescent="0.3">
      <c r="A465">
        <v>100464</v>
      </c>
      <c r="B465">
        <v>9018677126</v>
      </c>
      <c r="C465" t="s">
        <v>477</v>
      </c>
      <c r="D465" t="s">
        <v>515</v>
      </c>
      <c r="E465" s="2">
        <v>45755</v>
      </c>
      <c r="F465" t="s">
        <v>518</v>
      </c>
      <c r="G465">
        <v>36610.660000000003</v>
      </c>
      <c r="H465">
        <v>193911.65</v>
      </c>
      <c r="I465">
        <v>10.76</v>
      </c>
      <c r="J465">
        <v>452168.39</v>
      </c>
      <c r="K465">
        <v>10</v>
      </c>
      <c r="L465">
        <v>3497.77</v>
      </c>
      <c r="M465" t="s">
        <v>519</v>
      </c>
      <c r="N465">
        <v>18</v>
      </c>
    </row>
    <row r="466" spans="1:14" x14ac:dyDescent="0.3">
      <c r="A466">
        <v>100465</v>
      </c>
      <c r="B466">
        <v>2752280071</v>
      </c>
      <c r="C466" t="s">
        <v>478</v>
      </c>
      <c r="D466" t="s">
        <v>516</v>
      </c>
      <c r="E466" s="2">
        <v>45756</v>
      </c>
      <c r="F466" t="s">
        <v>517</v>
      </c>
      <c r="G466">
        <v>38392.89</v>
      </c>
      <c r="H466">
        <v>150033.94</v>
      </c>
      <c r="I466">
        <v>4.6100000000000003</v>
      </c>
      <c r="J466">
        <v>130337.11</v>
      </c>
      <c r="K466">
        <v>19</v>
      </c>
      <c r="L466">
        <v>31258.93</v>
      </c>
      <c r="M466" t="s">
        <v>523</v>
      </c>
      <c r="N466">
        <v>18</v>
      </c>
    </row>
    <row r="467" spans="1:14" x14ac:dyDescent="0.3">
      <c r="A467">
        <v>100466</v>
      </c>
      <c r="B467">
        <v>3369630520</v>
      </c>
      <c r="C467" t="s">
        <v>479</v>
      </c>
      <c r="D467" t="s">
        <v>514</v>
      </c>
      <c r="E467" s="2">
        <v>45757</v>
      </c>
      <c r="F467" t="s">
        <v>517</v>
      </c>
      <c r="G467">
        <v>8365.9500000000007</v>
      </c>
      <c r="H467">
        <v>109579.31</v>
      </c>
      <c r="I467">
        <v>10.199999999999999</v>
      </c>
      <c r="J467">
        <v>626504.61</v>
      </c>
      <c r="K467">
        <v>15</v>
      </c>
      <c r="L467">
        <v>11181.39</v>
      </c>
      <c r="M467" t="s">
        <v>521</v>
      </c>
      <c r="N467">
        <v>18</v>
      </c>
    </row>
    <row r="468" spans="1:14" x14ac:dyDescent="0.3">
      <c r="A468">
        <v>100467</v>
      </c>
      <c r="B468">
        <v>3555715911</v>
      </c>
      <c r="C468" t="s">
        <v>480</v>
      </c>
      <c r="D468" t="s">
        <v>514</v>
      </c>
      <c r="E468" s="2">
        <v>45758</v>
      </c>
      <c r="F468" t="s">
        <v>518</v>
      </c>
      <c r="G468">
        <v>30706.14</v>
      </c>
      <c r="H468">
        <v>383281.11</v>
      </c>
      <c r="I468">
        <v>7.97</v>
      </c>
      <c r="J468">
        <v>886924.36</v>
      </c>
      <c r="K468">
        <v>5</v>
      </c>
      <c r="L468">
        <v>29797.15</v>
      </c>
      <c r="M468" t="s">
        <v>521</v>
      </c>
      <c r="N468">
        <v>18</v>
      </c>
    </row>
    <row r="469" spans="1:14" x14ac:dyDescent="0.3">
      <c r="A469">
        <v>100468</v>
      </c>
      <c r="B469">
        <v>6752126200</v>
      </c>
      <c r="C469" t="s">
        <v>481</v>
      </c>
      <c r="D469" t="s">
        <v>515</v>
      </c>
      <c r="E469" s="2">
        <v>45759</v>
      </c>
      <c r="F469" t="s">
        <v>517</v>
      </c>
      <c r="G469">
        <v>7200.03</v>
      </c>
      <c r="H469">
        <v>199404.85</v>
      </c>
      <c r="I469">
        <v>6.57</v>
      </c>
      <c r="J469">
        <v>888769.08</v>
      </c>
      <c r="K469">
        <v>15</v>
      </c>
      <c r="L469">
        <v>6505.86</v>
      </c>
      <c r="M469" t="s">
        <v>522</v>
      </c>
      <c r="N469">
        <v>18</v>
      </c>
    </row>
    <row r="470" spans="1:14" x14ac:dyDescent="0.3">
      <c r="A470">
        <v>100469</v>
      </c>
      <c r="B470">
        <v>3391101019</v>
      </c>
      <c r="C470" t="s">
        <v>482</v>
      </c>
      <c r="D470" t="s">
        <v>516</v>
      </c>
      <c r="E470" s="2">
        <v>45760</v>
      </c>
      <c r="F470" t="s">
        <v>518</v>
      </c>
      <c r="G470">
        <v>37693.07</v>
      </c>
      <c r="H470">
        <v>260524.98</v>
      </c>
      <c r="I470">
        <v>4.1900000000000004</v>
      </c>
      <c r="J470">
        <v>676093.14</v>
      </c>
      <c r="K470">
        <v>2</v>
      </c>
      <c r="L470">
        <v>17267.34</v>
      </c>
      <c r="M470" t="s">
        <v>522</v>
      </c>
      <c r="N470">
        <v>18</v>
      </c>
    </row>
    <row r="471" spans="1:14" x14ac:dyDescent="0.3">
      <c r="A471">
        <v>100470</v>
      </c>
      <c r="B471">
        <v>8753768738</v>
      </c>
      <c r="C471" t="s">
        <v>483</v>
      </c>
      <c r="D471" t="s">
        <v>514</v>
      </c>
      <c r="E471" s="2">
        <v>45761</v>
      </c>
      <c r="F471" t="s">
        <v>518</v>
      </c>
      <c r="G471">
        <v>33019.279999999999</v>
      </c>
      <c r="H471">
        <v>251239.49</v>
      </c>
      <c r="I471">
        <v>10.79</v>
      </c>
      <c r="J471">
        <v>250670.24</v>
      </c>
      <c r="K471">
        <v>13</v>
      </c>
      <c r="L471">
        <v>39300</v>
      </c>
      <c r="M471" t="s">
        <v>523</v>
      </c>
      <c r="N471">
        <v>18</v>
      </c>
    </row>
    <row r="472" spans="1:14" x14ac:dyDescent="0.3">
      <c r="A472">
        <v>100471</v>
      </c>
      <c r="B472">
        <v>7885680415</v>
      </c>
      <c r="C472" t="s">
        <v>484</v>
      </c>
      <c r="D472" t="s">
        <v>516</v>
      </c>
      <c r="E472" s="2">
        <v>45762</v>
      </c>
      <c r="F472" t="s">
        <v>518</v>
      </c>
      <c r="G472">
        <v>47852.42</v>
      </c>
      <c r="H472">
        <v>292866.71999999997</v>
      </c>
      <c r="I472">
        <v>4.42</v>
      </c>
      <c r="J472">
        <v>869846.99</v>
      </c>
      <c r="K472">
        <v>16</v>
      </c>
      <c r="L472">
        <v>22415.52</v>
      </c>
      <c r="M472" t="s">
        <v>521</v>
      </c>
      <c r="N472">
        <v>18</v>
      </c>
    </row>
    <row r="473" spans="1:14" x14ac:dyDescent="0.3">
      <c r="A473">
        <v>100472</v>
      </c>
      <c r="B473">
        <v>1605941941</v>
      </c>
      <c r="C473" t="s">
        <v>485</v>
      </c>
      <c r="D473" t="s">
        <v>514</v>
      </c>
      <c r="E473" s="2">
        <v>45763</v>
      </c>
      <c r="F473" t="s">
        <v>518</v>
      </c>
      <c r="G473">
        <v>3913.42</v>
      </c>
      <c r="H473">
        <v>434132.8</v>
      </c>
      <c r="I473">
        <v>5.79</v>
      </c>
      <c r="J473">
        <v>891788.76</v>
      </c>
      <c r="K473">
        <v>15</v>
      </c>
      <c r="L473">
        <v>31759.53</v>
      </c>
      <c r="M473" t="s">
        <v>522</v>
      </c>
      <c r="N473">
        <v>18</v>
      </c>
    </row>
    <row r="474" spans="1:14" x14ac:dyDescent="0.3">
      <c r="A474">
        <v>100473</v>
      </c>
      <c r="B474">
        <v>2745441677</v>
      </c>
      <c r="C474" t="s">
        <v>486</v>
      </c>
      <c r="D474" t="s">
        <v>516</v>
      </c>
      <c r="E474" s="2">
        <v>45764</v>
      </c>
      <c r="F474" t="s">
        <v>517</v>
      </c>
      <c r="G474">
        <v>3324.21</v>
      </c>
      <c r="H474">
        <v>490562.28</v>
      </c>
      <c r="I474">
        <v>5.61</v>
      </c>
      <c r="J474">
        <v>236820.91</v>
      </c>
      <c r="K474">
        <v>10</v>
      </c>
      <c r="L474">
        <v>32725.439999999999</v>
      </c>
      <c r="M474" t="s">
        <v>519</v>
      </c>
      <c r="N474">
        <v>18</v>
      </c>
    </row>
    <row r="475" spans="1:14" x14ac:dyDescent="0.3">
      <c r="A475">
        <v>100474</v>
      </c>
      <c r="B475">
        <v>4764298642</v>
      </c>
      <c r="C475" t="s">
        <v>487</v>
      </c>
      <c r="D475" t="s">
        <v>515</v>
      </c>
      <c r="E475" s="2">
        <v>45765</v>
      </c>
      <c r="F475" t="s">
        <v>517</v>
      </c>
      <c r="G475">
        <v>14468.26</v>
      </c>
      <c r="H475">
        <v>209716.26</v>
      </c>
      <c r="I475">
        <v>10.84</v>
      </c>
      <c r="J475">
        <v>750554.78</v>
      </c>
      <c r="K475">
        <v>14</v>
      </c>
      <c r="L475">
        <v>42344</v>
      </c>
      <c r="M475" t="s">
        <v>519</v>
      </c>
      <c r="N475">
        <v>18</v>
      </c>
    </row>
    <row r="476" spans="1:14" x14ac:dyDescent="0.3">
      <c r="A476">
        <v>100475</v>
      </c>
      <c r="B476">
        <v>9206067584</v>
      </c>
      <c r="C476" t="s">
        <v>488</v>
      </c>
      <c r="D476" t="s">
        <v>514</v>
      </c>
      <c r="E476" s="2">
        <v>45766</v>
      </c>
      <c r="F476" t="s">
        <v>517</v>
      </c>
      <c r="G476">
        <v>13454.43</v>
      </c>
      <c r="H476">
        <v>415484.27</v>
      </c>
      <c r="I476">
        <v>9.0500000000000007</v>
      </c>
      <c r="J476">
        <v>322193.57</v>
      </c>
      <c r="K476">
        <v>10</v>
      </c>
      <c r="L476">
        <v>16921.22</v>
      </c>
      <c r="M476" t="s">
        <v>521</v>
      </c>
      <c r="N476">
        <v>18</v>
      </c>
    </row>
    <row r="477" spans="1:14" x14ac:dyDescent="0.3">
      <c r="A477">
        <v>100476</v>
      </c>
      <c r="B477">
        <v>8838776318</v>
      </c>
      <c r="C477" t="s">
        <v>489</v>
      </c>
      <c r="D477" t="s">
        <v>514</v>
      </c>
      <c r="E477" s="2">
        <v>45767</v>
      </c>
      <c r="F477" t="s">
        <v>517</v>
      </c>
      <c r="G477">
        <v>12725.45</v>
      </c>
      <c r="H477">
        <v>384618.62</v>
      </c>
      <c r="I477">
        <v>10.17</v>
      </c>
      <c r="J477">
        <v>812508.3</v>
      </c>
      <c r="K477">
        <v>14</v>
      </c>
      <c r="L477">
        <v>34677.480000000003</v>
      </c>
      <c r="M477" t="s">
        <v>522</v>
      </c>
      <c r="N477">
        <v>18</v>
      </c>
    </row>
    <row r="478" spans="1:14" x14ac:dyDescent="0.3">
      <c r="A478">
        <v>100477</v>
      </c>
      <c r="B478">
        <v>6854294722</v>
      </c>
      <c r="C478" t="s">
        <v>490</v>
      </c>
      <c r="D478" t="s">
        <v>516</v>
      </c>
      <c r="E478" s="2">
        <v>45768</v>
      </c>
      <c r="F478" t="s">
        <v>517</v>
      </c>
      <c r="G478">
        <v>45359.6</v>
      </c>
      <c r="H478">
        <v>291029.19</v>
      </c>
      <c r="I478">
        <v>5.25</v>
      </c>
      <c r="J478">
        <v>997376</v>
      </c>
      <c r="K478">
        <v>9</v>
      </c>
      <c r="L478">
        <v>48119.17</v>
      </c>
      <c r="M478" t="s">
        <v>523</v>
      </c>
      <c r="N478">
        <v>18</v>
      </c>
    </row>
    <row r="479" spans="1:14" x14ac:dyDescent="0.3">
      <c r="A479">
        <v>100478</v>
      </c>
      <c r="B479">
        <v>9736943222</v>
      </c>
      <c r="C479" t="s">
        <v>491</v>
      </c>
      <c r="D479" t="s">
        <v>516</v>
      </c>
      <c r="E479" s="2">
        <v>45769</v>
      </c>
      <c r="F479" t="s">
        <v>517</v>
      </c>
      <c r="G479">
        <v>12852.54</v>
      </c>
      <c r="H479">
        <v>478463.1</v>
      </c>
      <c r="I479">
        <v>8.6199999999999992</v>
      </c>
      <c r="J479">
        <v>78524.710000000006</v>
      </c>
      <c r="K479">
        <v>14</v>
      </c>
      <c r="L479">
        <v>36781.919999999998</v>
      </c>
      <c r="M479" t="s">
        <v>523</v>
      </c>
      <c r="N479">
        <v>18</v>
      </c>
    </row>
    <row r="480" spans="1:14" x14ac:dyDescent="0.3">
      <c r="A480">
        <v>100479</v>
      </c>
      <c r="B480">
        <v>2482588964</v>
      </c>
      <c r="C480" t="s">
        <v>492</v>
      </c>
      <c r="D480" t="s">
        <v>514</v>
      </c>
      <c r="E480" s="2">
        <v>45770</v>
      </c>
      <c r="F480" t="s">
        <v>517</v>
      </c>
      <c r="G480">
        <v>13961.51</v>
      </c>
      <c r="H480">
        <v>108232.51</v>
      </c>
      <c r="I480">
        <v>8.15</v>
      </c>
      <c r="J480">
        <v>902497.57</v>
      </c>
      <c r="K480">
        <v>3</v>
      </c>
      <c r="L480">
        <v>25003.65</v>
      </c>
      <c r="M480" t="s">
        <v>523</v>
      </c>
      <c r="N480">
        <v>18</v>
      </c>
    </row>
    <row r="481" spans="1:14" x14ac:dyDescent="0.3">
      <c r="A481">
        <v>100480</v>
      </c>
      <c r="B481">
        <v>8618561279</v>
      </c>
      <c r="C481" t="s">
        <v>493</v>
      </c>
      <c r="D481" t="s">
        <v>515</v>
      </c>
      <c r="E481" s="2">
        <v>45771</v>
      </c>
      <c r="F481" t="s">
        <v>518</v>
      </c>
      <c r="G481">
        <v>38090.21</v>
      </c>
      <c r="H481">
        <v>63539.46</v>
      </c>
      <c r="I481">
        <v>10.5</v>
      </c>
      <c r="J481">
        <v>641499.01</v>
      </c>
      <c r="K481">
        <v>16</v>
      </c>
      <c r="L481">
        <v>31905.15</v>
      </c>
      <c r="M481" t="s">
        <v>519</v>
      </c>
      <c r="N481">
        <v>18</v>
      </c>
    </row>
    <row r="482" spans="1:14" x14ac:dyDescent="0.3">
      <c r="A482">
        <v>100481</v>
      </c>
      <c r="B482">
        <v>6853000584</v>
      </c>
      <c r="C482" t="s">
        <v>494</v>
      </c>
      <c r="D482" t="s">
        <v>516</v>
      </c>
      <c r="E482" s="2">
        <v>45772</v>
      </c>
      <c r="F482" t="s">
        <v>517</v>
      </c>
      <c r="G482">
        <v>22762.12</v>
      </c>
      <c r="H482">
        <v>428441.36</v>
      </c>
      <c r="I482">
        <v>11.15</v>
      </c>
      <c r="J482">
        <v>974713.49</v>
      </c>
      <c r="K482">
        <v>2</v>
      </c>
      <c r="L482">
        <v>37244.46</v>
      </c>
      <c r="M482" t="s">
        <v>522</v>
      </c>
      <c r="N482">
        <v>18</v>
      </c>
    </row>
    <row r="483" spans="1:14" x14ac:dyDescent="0.3">
      <c r="A483">
        <v>100482</v>
      </c>
      <c r="B483">
        <v>8993226292</v>
      </c>
      <c r="C483" t="s">
        <v>495</v>
      </c>
      <c r="D483" t="s">
        <v>516</v>
      </c>
      <c r="E483" s="2">
        <v>45773</v>
      </c>
      <c r="F483" t="s">
        <v>517</v>
      </c>
      <c r="G483">
        <v>38947.17</v>
      </c>
      <c r="H483">
        <v>225183.41</v>
      </c>
      <c r="I483">
        <v>3.11</v>
      </c>
      <c r="J483">
        <v>491759.04</v>
      </c>
      <c r="K483">
        <v>10</v>
      </c>
      <c r="L483">
        <v>31001.51</v>
      </c>
      <c r="M483" t="s">
        <v>522</v>
      </c>
      <c r="N483">
        <v>18</v>
      </c>
    </row>
    <row r="484" spans="1:14" x14ac:dyDescent="0.3">
      <c r="A484">
        <v>100483</v>
      </c>
      <c r="B484">
        <v>8644005739</v>
      </c>
      <c r="C484" t="s">
        <v>496</v>
      </c>
      <c r="D484" t="s">
        <v>516</v>
      </c>
      <c r="E484" s="2">
        <v>45774</v>
      </c>
      <c r="F484" t="s">
        <v>518</v>
      </c>
      <c r="G484">
        <v>3735.62</v>
      </c>
      <c r="H484">
        <v>425014.74</v>
      </c>
      <c r="I484">
        <v>9.07</v>
      </c>
      <c r="J484">
        <v>855018.53</v>
      </c>
      <c r="K484">
        <v>3</v>
      </c>
      <c r="L484">
        <v>1817.11</v>
      </c>
      <c r="M484" t="s">
        <v>519</v>
      </c>
      <c r="N484">
        <v>18</v>
      </c>
    </row>
    <row r="485" spans="1:14" x14ac:dyDescent="0.3">
      <c r="A485">
        <v>100484</v>
      </c>
      <c r="B485">
        <v>7724959389</v>
      </c>
      <c r="C485" t="s">
        <v>497</v>
      </c>
      <c r="D485" t="s">
        <v>514</v>
      </c>
      <c r="E485" s="2">
        <v>45775</v>
      </c>
      <c r="F485" t="s">
        <v>517</v>
      </c>
      <c r="G485">
        <v>24634.77</v>
      </c>
      <c r="H485">
        <v>447614.2</v>
      </c>
      <c r="I485">
        <v>3.47</v>
      </c>
      <c r="J485">
        <v>109274.37</v>
      </c>
      <c r="K485">
        <v>11</v>
      </c>
      <c r="L485">
        <v>10543.9</v>
      </c>
      <c r="M485" t="s">
        <v>523</v>
      </c>
      <c r="N485">
        <v>18</v>
      </c>
    </row>
    <row r="486" spans="1:14" x14ac:dyDescent="0.3">
      <c r="A486">
        <v>100485</v>
      </c>
      <c r="B486">
        <v>7318178006</v>
      </c>
      <c r="C486" t="s">
        <v>498</v>
      </c>
      <c r="D486" t="s">
        <v>514</v>
      </c>
      <c r="E486" s="2">
        <v>45776</v>
      </c>
      <c r="F486" t="s">
        <v>517</v>
      </c>
      <c r="G486">
        <v>2163.87</v>
      </c>
      <c r="H486">
        <v>40604.22</v>
      </c>
      <c r="I486">
        <v>7.94</v>
      </c>
      <c r="J486">
        <v>368515.1</v>
      </c>
      <c r="K486">
        <v>11</v>
      </c>
      <c r="L486">
        <v>40712.94</v>
      </c>
      <c r="M486" t="s">
        <v>523</v>
      </c>
      <c r="N486">
        <v>18</v>
      </c>
    </row>
    <row r="487" spans="1:14" x14ac:dyDescent="0.3">
      <c r="A487">
        <v>100486</v>
      </c>
      <c r="B487">
        <v>3082107249</v>
      </c>
      <c r="C487" t="s">
        <v>499</v>
      </c>
      <c r="D487" t="s">
        <v>514</v>
      </c>
      <c r="E487" s="2">
        <v>45777</v>
      </c>
      <c r="F487" t="s">
        <v>518</v>
      </c>
      <c r="G487">
        <v>3601.33</v>
      </c>
      <c r="H487">
        <v>442897.73</v>
      </c>
      <c r="I487">
        <v>5.59</v>
      </c>
      <c r="J487">
        <v>113665.71</v>
      </c>
      <c r="K487">
        <v>13</v>
      </c>
      <c r="L487">
        <v>14359.88</v>
      </c>
      <c r="M487" t="s">
        <v>521</v>
      </c>
      <c r="N487">
        <v>18</v>
      </c>
    </row>
    <row r="488" spans="1:14" x14ac:dyDescent="0.3">
      <c r="A488">
        <v>100487</v>
      </c>
      <c r="B488">
        <v>8480488456</v>
      </c>
      <c r="C488" t="s">
        <v>500</v>
      </c>
      <c r="D488" t="s">
        <v>514</v>
      </c>
      <c r="E488" s="2">
        <v>45778</v>
      </c>
      <c r="F488" t="s">
        <v>517</v>
      </c>
      <c r="G488">
        <v>45368.65</v>
      </c>
      <c r="H488">
        <v>229676.34</v>
      </c>
      <c r="I488">
        <v>5.76</v>
      </c>
      <c r="J488">
        <v>976575.98</v>
      </c>
      <c r="K488">
        <v>7</v>
      </c>
      <c r="L488">
        <v>36846.54</v>
      </c>
      <c r="M488" t="s">
        <v>520</v>
      </c>
      <c r="N488">
        <v>18</v>
      </c>
    </row>
    <row r="489" spans="1:14" x14ac:dyDescent="0.3">
      <c r="A489">
        <v>100488</v>
      </c>
      <c r="B489">
        <v>2728939288</v>
      </c>
      <c r="C489" t="s">
        <v>501</v>
      </c>
      <c r="D489" t="s">
        <v>515</v>
      </c>
      <c r="E489" s="2">
        <v>45779</v>
      </c>
      <c r="F489" t="s">
        <v>517</v>
      </c>
      <c r="G489">
        <v>7392.65</v>
      </c>
      <c r="H489">
        <v>260111.92</v>
      </c>
      <c r="I489">
        <v>6.18</v>
      </c>
      <c r="J489">
        <v>826125.21</v>
      </c>
      <c r="K489">
        <v>17</v>
      </c>
      <c r="L489">
        <v>19233.89</v>
      </c>
      <c r="M489" t="s">
        <v>522</v>
      </c>
      <c r="N489">
        <v>18</v>
      </c>
    </row>
    <row r="490" spans="1:14" x14ac:dyDescent="0.3">
      <c r="A490">
        <v>100489</v>
      </c>
      <c r="B490">
        <v>8065453845</v>
      </c>
      <c r="C490" t="s">
        <v>502</v>
      </c>
      <c r="D490" t="s">
        <v>515</v>
      </c>
      <c r="E490" s="2">
        <v>45780</v>
      </c>
      <c r="F490" t="s">
        <v>517</v>
      </c>
      <c r="G490">
        <v>26854.82</v>
      </c>
      <c r="H490">
        <v>317030.33</v>
      </c>
      <c r="I490">
        <v>8.59</v>
      </c>
      <c r="J490">
        <v>859920.05</v>
      </c>
      <c r="K490">
        <v>2</v>
      </c>
      <c r="L490">
        <v>26572.33</v>
      </c>
      <c r="M490" t="s">
        <v>522</v>
      </c>
      <c r="N490">
        <v>18</v>
      </c>
    </row>
    <row r="491" spans="1:14" x14ac:dyDescent="0.3">
      <c r="A491">
        <v>100490</v>
      </c>
      <c r="B491">
        <v>9162895900</v>
      </c>
      <c r="C491" t="s">
        <v>503</v>
      </c>
      <c r="D491" t="s">
        <v>514</v>
      </c>
      <c r="E491" s="2">
        <v>45781</v>
      </c>
      <c r="F491" t="s">
        <v>518</v>
      </c>
      <c r="G491">
        <v>20849.23</v>
      </c>
      <c r="H491">
        <v>463927.48</v>
      </c>
      <c r="I491">
        <v>6.01</v>
      </c>
      <c r="J491">
        <v>941066.97</v>
      </c>
      <c r="K491">
        <v>12</v>
      </c>
      <c r="L491">
        <v>4330.6899999999996</v>
      </c>
      <c r="M491" t="s">
        <v>522</v>
      </c>
      <c r="N491">
        <v>18</v>
      </c>
    </row>
    <row r="492" spans="1:14" x14ac:dyDescent="0.3">
      <c r="A492">
        <v>100491</v>
      </c>
      <c r="B492">
        <v>3968775265</v>
      </c>
      <c r="C492" t="s">
        <v>504</v>
      </c>
      <c r="D492" t="s">
        <v>515</v>
      </c>
      <c r="E492" s="2">
        <v>45782</v>
      </c>
      <c r="F492" t="s">
        <v>517</v>
      </c>
      <c r="G492">
        <v>17693.490000000002</v>
      </c>
      <c r="H492">
        <v>19366.89</v>
      </c>
      <c r="I492">
        <v>9.59</v>
      </c>
      <c r="J492">
        <v>130848.31</v>
      </c>
      <c r="K492">
        <v>10</v>
      </c>
      <c r="L492">
        <v>9880.0499999999993</v>
      </c>
      <c r="M492" t="s">
        <v>520</v>
      </c>
      <c r="N492">
        <v>18</v>
      </c>
    </row>
    <row r="493" spans="1:14" x14ac:dyDescent="0.3">
      <c r="A493">
        <v>100492</v>
      </c>
      <c r="B493">
        <v>7569846911</v>
      </c>
      <c r="C493" t="s">
        <v>505</v>
      </c>
      <c r="D493" t="s">
        <v>516</v>
      </c>
      <c r="E493" s="2">
        <v>45783</v>
      </c>
      <c r="F493" t="s">
        <v>517</v>
      </c>
      <c r="G493">
        <v>45041.75</v>
      </c>
      <c r="H493">
        <v>243653.3</v>
      </c>
      <c r="I493">
        <v>6.64</v>
      </c>
      <c r="J493">
        <v>416317.71</v>
      </c>
      <c r="K493">
        <v>18</v>
      </c>
      <c r="L493">
        <v>47902.65</v>
      </c>
      <c r="M493" t="s">
        <v>521</v>
      </c>
      <c r="N493">
        <v>18</v>
      </c>
    </row>
    <row r="494" spans="1:14" x14ac:dyDescent="0.3">
      <c r="A494">
        <v>100493</v>
      </c>
      <c r="B494">
        <v>4500632105</v>
      </c>
      <c r="C494" t="s">
        <v>506</v>
      </c>
      <c r="D494" t="s">
        <v>516</v>
      </c>
      <c r="E494" s="2">
        <v>45784</v>
      </c>
      <c r="F494" t="s">
        <v>518</v>
      </c>
      <c r="G494">
        <v>1580.26</v>
      </c>
      <c r="H494">
        <v>346983.8</v>
      </c>
      <c r="I494">
        <v>3.62</v>
      </c>
      <c r="J494">
        <v>117483.14</v>
      </c>
      <c r="K494">
        <v>11</v>
      </c>
      <c r="L494">
        <v>44616.76</v>
      </c>
      <c r="M494" t="s">
        <v>520</v>
      </c>
      <c r="N494">
        <v>18</v>
      </c>
    </row>
    <row r="495" spans="1:14" x14ac:dyDescent="0.3">
      <c r="A495">
        <v>100494</v>
      </c>
      <c r="B495">
        <v>5583483425</v>
      </c>
      <c r="C495" t="s">
        <v>507</v>
      </c>
      <c r="D495" t="s">
        <v>516</v>
      </c>
      <c r="E495" s="2">
        <v>45785</v>
      </c>
      <c r="F495" t="s">
        <v>517</v>
      </c>
      <c r="G495">
        <v>33357.589999999997</v>
      </c>
      <c r="H495">
        <v>364126.41</v>
      </c>
      <c r="I495">
        <v>10.050000000000001</v>
      </c>
      <c r="J495">
        <v>250253.45</v>
      </c>
      <c r="K495">
        <v>16</v>
      </c>
      <c r="L495">
        <v>32961.480000000003</v>
      </c>
      <c r="M495" t="s">
        <v>523</v>
      </c>
      <c r="N495">
        <v>18</v>
      </c>
    </row>
    <row r="496" spans="1:14" x14ac:dyDescent="0.3">
      <c r="A496">
        <v>100495</v>
      </c>
      <c r="B496">
        <v>2740527268</v>
      </c>
      <c r="C496" t="s">
        <v>508</v>
      </c>
      <c r="D496" t="s">
        <v>514</v>
      </c>
      <c r="E496" s="2">
        <v>45786</v>
      </c>
      <c r="F496" t="s">
        <v>518</v>
      </c>
      <c r="G496">
        <v>48188.02</v>
      </c>
      <c r="H496">
        <v>349340.89</v>
      </c>
      <c r="I496">
        <v>5.57</v>
      </c>
      <c r="J496">
        <v>267897.49</v>
      </c>
      <c r="K496">
        <v>17</v>
      </c>
      <c r="L496">
        <v>23522.59</v>
      </c>
      <c r="M496" t="s">
        <v>523</v>
      </c>
      <c r="N496">
        <v>18</v>
      </c>
    </row>
    <row r="497" spans="1:14" x14ac:dyDescent="0.3">
      <c r="A497">
        <v>100496</v>
      </c>
      <c r="B497">
        <v>3136595429</v>
      </c>
      <c r="C497" t="s">
        <v>509</v>
      </c>
      <c r="D497" t="s">
        <v>516</v>
      </c>
      <c r="E497" s="2">
        <v>45787</v>
      </c>
      <c r="F497" t="s">
        <v>518</v>
      </c>
      <c r="G497">
        <v>28228.33</v>
      </c>
      <c r="H497">
        <v>75873.210000000006</v>
      </c>
      <c r="I497">
        <v>6.89</v>
      </c>
      <c r="J497">
        <v>495651.85</v>
      </c>
      <c r="K497">
        <v>19</v>
      </c>
      <c r="L497">
        <v>34112.300000000003</v>
      </c>
      <c r="M497" t="s">
        <v>522</v>
      </c>
      <c r="N497">
        <v>18</v>
      </c>
    </row>
    <row r="498" spans="1:14" x14ac:dyDescent="0.3">
      <c r="A498">
        <v>100497</v>
      </c>
      <c r="B498">
        <v>8388213835</v>
      </c>
      <c r="C498" t="s">
        <v>510</v>
      </c>
      <c r="D498" t="s">
        <v>515</v>
      </c>
      <c r="E498" s="2">
        <v>45788</v>
      </c>
      <c r="F498" t="s">
        <v>517</v>
      </c>
      <c r="G498">
        <v>46872.71</v>
      </c>
      <c r="H498">
        <v>156703.84</v>
      </c>
      <c r="I498">
        <v>9.17</v>
      </c>
      <c r="J498">
        <v>305134.06</v>
      </c>
      <c r="K498">
        <v>18</v>
      </c>
      <c r="L498">
        <v>31311.9</v>
      </c>
      <c r="M498" t="s">
        <v>519</v>
      </c>
      <c r="N498">
        <v>18</v>
      </c>
    </row>
    <row r="499" spans="1:14" x14ac:dyDescent="0.3">
      <c r="A499">
        <v>100498</v>
      </c>
      <c r="B499">
        <v>5896342357</v>
      </c>
      <c r="C499" t="s">
        <v>511</v>
      </c>
      <c r="D499" t="s">
        <v>514</v>
      </c>
      <c r="E499" s="2">
        <v>45789</v>
      </c>
      <c r="F499" t="s">
        <v>518</v>
      </c>
      <c r="G499">
        <v>3086.77</v>
      </c>
      <c r="H499">
        <v>185770.61</v>
      </c>
      <c r="I499">
        <v>5.99</v>
      </c>
      <c r="J499">
        <v>145929.20000000001</v>
      </c>
      <c r="K499">
        <v>3</v>
      </c>
      <c r="L499">
        <v>28859.06</v>
      </c>
      <c r="M499" t="s">
        <v>522</v>
      </c>
      <c r="N499">
        <v>18</v>
      </c>
    </row>
    <row r="500" spans="1:14" x14ac:dyDescent="0.3">
      <c r="A500">
        <v>100499</v>
      </c>
      <c r="B500">
        <v>2132513306</v>
      </c>
      <c r="C500" t="s">
        <v>512</v>
      </c>
      <c r="D500" t="s">
        <v>515</v>
      </c>
      <c r="E500" s="2">
        <v>45790</v>
      </c>
      <c r="F500" t="s">
        <v>518</v>
      </c>
      <c r="G500">
        <v>21230.27</v>
      </c>
      <c r="H500">
        <v>404174.23</v>
      </c>
      <c r="I500">
        <v>3.51</v>
      </c>
      <c r="J500">
        <v>209116.53</v>
      </c>
      <c r="K500">
        <v>16</v>
      </c>
      <c r="L500">
        <v>3899.68</v>
      </c>
      <c r="M500" t="s">
        <v>519</v>
      </c>
      <c r="N500">
        <v>18</v>
      </c>
    </row>
    <row r="501" spans="1:14" x14ac:dyDescent="0.3">
      <c r="A501">
        <v>100500</v>
      </c>
      <c r="B501">
        <v>2144601886</v>
      </c>
      <c r="C501" t="s">
        <v>513</v>
      </c>
      <c r="D501" t="s">
        <v>516</v>
      </c>
      <c r="E501" s="2">
        <v>45791</v>
      </c>
      <c r="F501" t="s">
        <v>517</v>
      </c>
      <c r="G501">
        <v>13377.81</v>
      </c>
      <c r="H501">
        <v>146592.34</v>
      </c>
      <c r="I501">
        <v>6.37</v>
      </c>
      <c r="J501">
        <v>189911.79</v>
      </c>
      <c r="K501">
        <v>6</v>
      </c>
      <c r="L501">
        <v>32007.33</v>
      </c>
      <c r="M501" t="s">
        <v>520</v>
      </c>
      <c r="N501">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C046-E501-4447-9542-33EAE4576673}">
  <dimension ref="A1:N501"/>
  <sheetViews>
    <sheetView topLeftCell="D486" workbookViewId="0">
      <selection activeCell="S4" sqref="S4"/>
    </sheetView>
  </sheetViews>
  <sheetFormatPr defaultRowHeight="14.4" x14ac:dyDescent="0.3"/>
  <cols>
    <col min="1" max="1" width="18.109375" bestFit="1" customWidth="1"/>
    <col min="2" max="2" width="20.109375" bestFit="1" customWidth="1"/>
    <col min="3" max="3" width="19.5546875" bestFit="1" customWidth="1"/>
    <col min="4" max="4" width="17.21875" bestFit="1" customWidth="1"/>
    <col min="5" max="6" width="20.21875" bestFit="1" customWidth="1"/>
    <col min="7" max="7" width="23.21875" bestFit="1" customWidth="1"/>
    <col min="8" max="8" width="19.88671875" bestFit="1" customWidth="1"/>
    <col min="9" max="9" width="19.33203125" bestFit="1" customWidth="1"/>
    <col min="10" max="10" width="17.21875" bestFit="1" customWidth="1"/>
    <col min="11" max="11" width="16.77734375" bestFit="1" customWidth="1"/>
    <col min="12" max="12" width="8.77734375" bestFit="1" customWidth="1"/>
    <col min="13" max="13" width="11.21875" bestFit="1" customWidth="1"/>
    <col min="14" max="14" width="11" bestFit="1"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
      <c r="A2">
        <v>100001</v>
      </c>
      <c r="B2">
        <v>1787846414</v>
      </c>
      <c r="C2" t="s">
        <v>14</v>
      </c>
      <c r="D2" t="s">
        <v>514</v>
      </c>
      <c r="E2" s="5">
        <v>45292</v>
      </c>
      <c r="F2" t="s">
        <v>517</v>
      </c>
      <c r="G2">
        <v>14601.21</v>
      </c>
      <c r="H2">
        <v>368102.27</v>
      </c>
      <c r="I2">
        <v>4.9000000000000004</v>
      </c>
      <c r="J2">
        <v>947226.15</v>
      </c>
      <c r="K2">
        <v>3</v>
      </c>
      <c r="L2">
        <v>39299.160000000003</v>
      </c>
      <c r="M2" t="s">
        <v>519</v>
      </c>
      <c r="N2">
        <v>18</v>
      </c>
    </row>
    <row r="3" spans="1:14" x14ac:dyDescent="0.3">
      <c r="A3">
        <v>100002</v>
      </c>
      <c r="B3">
        <v>3563451924</v>
      </c>
      <c r="C3" t="s">
        <v>15</v>
      </c>
      <c r="D3" t="s">
        <v>515</v>
      </c>
      <c r="E3" s="5">
        <v>45293</v>
      </c>
      <c r="F3" t="s">
        <v>518</v>
      </c>
      <c r="G3">
        <v>15710.85</v>
      </c>
      <c r="H3">
        <v>490835.57</v>
      </c>
      <c r="I3">
        <v>11.62</v>
      </c>
      <c r="J3">
        <v>659647.68000000005</v>
      </c>
      <c r="K3">
        <v>5</v>
      </c>
      <c r="L3">
        <v>16371.62</v>
      </c>
      <c r="M3" t="s">
        <v>520</v>
      </c>
      <c r="N3">
        <v>18</v>
      </c>
    </row>
    <row r="4" spans="1:14" x14ac:dyDescent="0.3">
      <c r="A4">
        <v>100003</v>
      </c>
      <c r="B4">
        <v>5537253172</v>
      </c>
      <c r="C4" t="s">
        <v>16</v>
      </c>
      <c r="D4" t="s">
        <v>514</v>
      </c>
      <c r="E4" s="5">
        <v>45294</v>
      </c>
      <c r="F4" t="s">
        <v>517</v>
      </c>
      <c r="G4">
        <v>40249.78</v>
      </c>
      <c r="H4">
        <v>135699.73000000001</v>
      </c>
      <c r="I4">
        <v>3.08</v>
      </c>
      <c r="J4">
        <v>687905.19</v>
      </c>
      <c r="K4">
        <v>8</v>
      </c>
      <c r="L4">
        <v>13145.79</v>
      </c>
      <c r="M4" t="s">
        <v>521</v>
      </c>
      <c r="N4">
        <v>18</v>
      </c>
    </row>
    <row r="5" spans="1:14" x14ac:dyDescent="0.3">
      <c r="A5">
        <v>100004</v>
      </c>
      <c r="B5">
        <v>8395928407</v>
      </c>
      <c r="C5" t="s">
        <v>17</v>
      </c>
      <c r="D5" t="s">
        <v>516</v>
      </c>
      <c r="E5" s="5">
        <v>45295</v>
      </c>
      <c r="F5" t="s">
        <v>518</v>
      </c>
      <c r="G5">
        <v>27188.48</v>
      </c>
      <c r="H5">
        <v>330545.55</v>
      </c>
      <c r="I5">
        <v>11.98</v>
      </c>
      <c r="J5">
        <v>650668.05000000005</v>
      </c>
      <c r="K5">
        <v>8</v>
      </c>
      <c r="L5">
        <v>35188.1</v>
      </c>
      <c r="M5" t="s">
        <v>520</v>
      </c>
      <c r="N5">
        <v>18</v>
      </c>
    </row>
    <row r="6" spans="1:14" x14ac:dyDescent="0.3">
      <c r="A6">
        <v>100005</v>
      </c>
      <c r="B6">
        <v>5298312065</v>
      </c>
      <c r="C6" t="s">
        <v>18</v>
      </c>
      <c r="D6" t="s">
        <v>516</v>
      </c>
      <c r="E6" s="5">
        <v>45296</v>
      </c>
      <c r="F6" t="s">
        <v>518</v>
      </c>
      <c r="G6">
        <v>15909.73</v>
      </c>
      <c r="H6">
        <v>107067.84</v>
      </c>
      <c r="I6">
        <v>9.09</v>
      </c>
      <c r="J6">
        <v>239042.53</v>
      </c>
      <c r="K6">
        <v>8</v>
      </c>
      <c r="L6">
        <v>18841.53</v>
      </c>
      <c r="M6" t="s">
        <v>521</v>
      </c>
      <c r="N6">
        <v>18</v>
      </c>
    </row>
    <row r="7" spans="1:14" x14ac:dyDescent="0.3">
      <c r="A7">
        <v>100006</v>
      </c>
      <c r="B7">
        <v>3652062880</v>
      </c>
      <c r="C7" t="s">
        <v>19</v>
      </c>
      <c r="D7" t="s">
        <v>516</v>
      </c>
      <c r="E7" s="5">
        <v>45297</v>
      </c>
      <c r="F7" t="s">
        <v>517</v>
      </c>
      <c r="G7">
        <v>30711.52</v>
      </c>
      <c r="H7">
        <v>287011.82</v>
      </c>
      <c r="I7">
        <v>10.46</v>
      </c>
      <c r="J7">
        <v>447417.17</v>
      </c>
      <c r="K7">
        <v>12</v>
      </c>
      <c r="L7">
        <v>28744.54</v>
      </c>
      <c r="M7" t="s">
        <v>522</v>
      </c>
      <c r="N7">
        <v>18</v>
      </c>
    </row>
    <row r="8" spans="1:14" x14ac:dyDescent="0.3">
      <c r="A8">
        <v>100007</v>
      </c>
      <c r="B8">
        <v>5325316860</v>
      </c>
      <c r="C8" t="s">
        <v>20</v>
      </c>
      <c r="D8" t="s">
        <v>515</v>
      </c>
      <c r="E8" s="5">
        <v>45298</v>
      </c>
      <c r="F8" t="s">
        <v>518</v>
      </c>
      <c r="G8">
        <v>35949.46</v>
      </c>
      <c r="H8">
        <v>237326.92</v>
      </c>
      <c r="I8">
        <v>5.65</v>
      </c>
      <c r="J8">
        <v>763392.81</v>
      </c>
      <c r="K8">
        <v>8</v>
      </c>
      <c r="L8">
        <v>1306.6199999999999</v>
      </c>
      <c r="M8" t="s">
        <v>521</v>
      </c>
      <c r="N8">
        <v>18</v>
      </c>
    </row>
    <row r="9" spans="1:14" x14ac:dyDescent="0.3">
      <c r="A9">
        <v>100008</v>
      </c>
      <c r="B9">
        <v>3253890010</v>
      </c>
      <c r="C9" t="s">
        <v>21</v>
      </c>
      <c r="D9" t="s">
        <v>514</v>
      </c>
      <c r="E9" s="5">
        <v>45299</v>
      </c>
      <c r="F9" t="s">
        <v>518</v>
      </c>
      <c r="G9">
        <v>13994.89</v>
      </c>
      <c r="H9">
        <v>486282.61</v>
      </c>
      <c r="I9">
        <v>3.13</v>
      </c>
      <c r="J9">
        <v>146304.25</v>
      </c>
      <c r="K9">
        <v>11</v>
      </c>
      <c r="L9">
        <v>4032.4</v>
      </c>
      <c r="M9" t="s">
        <v>523</v>
      </c>
      <c r="N9">
        <v>18</v>
      </c>
    </row>
    <row r="10" spans="1:14" x14ac:dyDescent="0.3">
      <c r="A10">
        <v>100009</v>
      </c>
      <c r="B10">
        <v>5495394815</v>
      </c>
      <c r="C10" t="s">
        <v>22</v>
      </c>
      <c r="D10" t="s">
        <v>516</v>
      </c>
      <c r="E10" s="5">
        <v>45300</v>
      </c>
      <c r="F10" t="s">
        <v>518</v>
      </c>
      <c r="G10">
        <v>20970.68</v>
      </c>
      <c r="H10">
        <v>308178.36</v>
      </c>
      <c r="I10">
        <v>9.64</v>
      </c>
      <c r="J10">
        <v>313960.14</v>
      </c>
      <c r="K10">
        <v>14</v>
      </c>
      <c r="L10">
        <v>27233.03</v>
      </c>
      <c r="M10" t="s">
        <v>523</v>
      </c>
      <c r="N10">
        <v>18</v>
      </c>
    </row>
    <row r="11" spans="1:14" x14ac:dyDescent="0.3">
      <c r="A11">
        <v>100010</v>
      </c>
      <c r="B11">
        <v>5684118973</v>
      </c>
      <c r="C11" t="s">
        <v>23</v>
      </c>
      <c r="D11" t="s">
        <v>516</v>
      </c>
      <c r="E11" s="5">
        <v>45301</v>
      </c>
      <c r="F11" t="s">
        <v>518</v>
      </c>
      <c r="G11">
        <v>6533.36</v>
      </c>
      <c r="H11">
        <v>181258.12</v>
      </c>
      <c r="I11">
        <v>10.51</v>
      </c>
      <c r="J11">
        <v>312503.15000000002</v>
      </c>
      <c r="K11">
        <v>8</v>
      </c>
      <c r="L11">
        <v>28737.51</v>
      </c>
      <c r="M11" t="s">
        <v>523</v>
      </c>
      <c r="N11">
        <v>18</v>
      </c>
    </row>
    <row r="12" spans="1:14" x14ac:dyDescent="0.3">
      <c r="A12">
        <v>100011</v>
      </c>
      <c r="B12">
        <v>2934879560</v>
      </c>
      <c r="C12" t="s">
        <v>24</v>
      </c>
      <c r="D12" t="s">
        <v>514</v>
      </c>
      <c r="E12" s="5">
        <v>45302</v>
      </c>
      <c r="F12" t="s">
        <v>518</v>
      </c>
      <c r="G12">
        <v>9466.89</v>
      </c>
      <c r="H12">
        <v>65906.929999999993</v>
      </c>
      <c r="I12">
        <v>9.66</v>
      </c>
      <c r="J12">
        <v>460417.98</v>
      </c>
      <c r="K12">
        <v>10</v>
      </c>
      <c r="L12">
        <v>37821.19</v>
      </c>
      <c r="M12" t="s">
        <v>519</v>
      </c>
      <c r="N12">
        <v>18</v>
      </c>
    </row>
    <row r="13" spans="1:14" x14ac:dyDescent="0.3">
      <c r="A13">
        <v>100012</v>
      </c>
      <c r="B13">
        <v>9646907153</v>
      </c>
      <c r="C13" t="s">
        <v>25</v>
      </c>
      <c r="D13" t="s">
        <v>516</v>
      </c>
      <c r="E13" s="5">
        <v>45303</v>
      </c>
      <c r="F13" t="s">
        <v>517</v>
      </c>
      <c r="G13">
        <v>34215.33</v>
      </c>
      <c r="H13">
        <v>84110.95</v>
      </c>
      <c r="I13">
        <v>4.29</v>
      </c>
      <c r="J13">
        <v>981350.3</v>
      </c>
      <c r="K13">
        <v>7</v>
      </c>
      <c r="L13">
        <v>7466.3</v>
      </c>
      <c r="M13" t="s">
        <v>519</v>
      </c>
      <c r="N13">
        <v>18</v>
      </c>
    </row>
    <row r="14" spans="1:14" x14ac:dyDescent="0.3">
      <c r="A14">
        <v>100013</v>
      </c>
      <c r="B14">
        <v>6950318585</v>
      </c>
      <c r="C14" t="s">
        <v>26</v>
      </c>
      <c r="D14" t="s">
        <v>514</v>
      </c>
      <c r="E14" s="5">
        <v>45304</v>
      </c>
      <c r="F14" t="s">
        <v>518</v>
      </c>
      <c r="G14">
        <v>9481.2000000000007</v>
      </c>
      <c r="H14">
        <v>120405.3</v>
      </c>
      <c r="I14">
        <v>9.7799999999999994</v>
      </c>
      <c r="J14">
        <v>114127.42</v>
      </c>
      <c r="K14">
        <v>17</v>
      </c>
      <c r="L14">
        <v>26145.97</v>
      </c>
      <c r="M14" t="s">
        <v>519</v>
      </c>
      <c r="N14">
        <v>18</v>
      </c>
    </row>
    <row r="15" spans="1:14" x14ac:dyDescent="0.3">
      <c r="A15">
        <v>100014</v>
      </c>
      <c r="B15">
        <v>1068574553</v>
      </c>
      <c r="C15" t="s">
        <v>27</v>
      </c>
      <c r="D15" t="s">
        <v>514</v>
      </c>
      <c r="E15" s="5">
        <v>45305</v>
      </c>
      <c r="F15" t="s">
        <v>518</v>
      </c>
      <c r="G15">
        <v>26495.59</v>
      </c>
      <c r="H15">
        <v>132973.66</v>
      </c>
      <c r="I15">
        <v>9.92</v>
      </c>
      <c r="J15">
        <v>542765.93999999994</v>
      </c>
      <c r="K15">
        <v>4</v>
      </c>
      <c r="L15">
        <v>10527.93</v>
      </c>
      <c r="M15" t="s">
        <v>521</v>
      </c>
      <c r="N15">
        <v>18</v>
      </c>
    </row>
    <row r="16" spans="1:14" x14ac:dyDescent="0.3">
      <c r="A16">
        <v>100015</v>
      </c>
      <c r="B16">
        <v>1991681409</v>
      </c>
      <c r="C16" t="s">
        <v>28</v>
      </c>
      <c r="D16" t="s">
        <v>514</v>
      </c>
      <c r="E16" s="5">
        <v>45306</v>
      </c>
      <c r="F16" t="s">
        <v>518</v>
      </c>
      <c r="G16">
        <v>35597.79</v>
      </c>
      <c r="H16">
        <v>426801.87</v>
      </c>
      <c r="I16">
        <v>8.93</v>
      </c>
      <c r="J16">
        <v>220396.45</v>
      </c>
      <c r="K16">
        <v>13</v>
      </c>
      <c r="L16">
        <v>5566.61</v>
      </c>
      <c r="M16" t="s">
        <v>519</v>
      </c>
      <c r="N16">
        <v>18</v>
      </c>
    </row>
    <row r="17" spans="1:14" x14ac:dyDescent="0.3">
      <c r="A17">
        <v>100016</v>
      </c>
      <c r="B17">
        <v>4578544903</v>
      </c>
      <c r="C17" t="s">
        <v>29</v>
      </c>
      <c r="D17" t="s">
        <v>514</v>
      </c>
      <c r="E17" s="5">
        <v>45307</v>
      </c>
      <c r="F17" t="s">
        <v>518</v>
      </c>
      <c r="G17">
        <v>5790.41</v>
      </c>
      <c r="H17">
        <v>284999.17</v>
      </c>
      <c r="I17">
        <v>9.9</v>
      </c>
      <c r="J17">
        <v>972142.72</v>
      </c>
      <c r="K17">
        <v>4</v>
      </c>
      <c r="L17">
        <v>21114.29</v>
      </c>
      <c r="M17" t="s">
        <v>522</v>
      </c>
      <c r="N17">
        <v>18</v>
      </c>
    </row>
    <row r="18" spans="1:14" x14ac:dyDescent="0.3">
      <c r="A18">
        <v>100017</v>
      </c>
      <c r="B18">
        <v>6974559824</v>
      </c>
      <c r="C18" t="s">
        <v>30</v>
      </c>
      <c r="D18" t="s">
        <v>514</v>
      </c>
      <c r="E18" s="5">
        <v>45308</v>
      </c>
      <c r="F18" t="s">
        <v>518</v>
      </c>
      <c r="G18">
        <v>28581.95</v>
      </c>
      <c r="H18">
        <v>266461.55</v>
      </c>
      <c r="I18">
        <v>10.61</v>
      </c>
      <c r="J18">
        <v>157638.32999999999</v>
      </c>
      <c r="K18">
        <v>5</v>
      </c>
      <c r="L18">
        <v>9003.5</v>
      </c>
      <c r="M18" t="s">
        <v>523</v>
      </c>
      <c r="N18">
        <v>18</v>
      </c>
    </row>
    <row r="19" spans="1:14" x14ac:dyDescent="0.3">
      <c r="A19">
        <v>100018</v>
      </c>
      <c r="B19">
        <v>7120997885</v>
      </c>
      <c r="C19" t="s">
        <v>31</v>
      </c>
      <c r="D19" t="s">
        <v>515</v>
      </c>
      <c r="E19" s="5">
        <v>45309</v>
      </c>
      <c r="F19" t="s">
        <v>517</v>
      </c>
      <c r="G19">
        <v>13199.86</v>
      </c>
      <c r="H19">
        <v>66236.75</v>
      </c>
      <c r="I19">
        <v>8.52</v>
      </c>
      <c r="J19">
        <v>433420.95</v>
      </c>
      <c r="K19">
        <v>4</v>
      </c>
      <c r="L19">
        <v>11867.32</v>
      </c>
      <c r="M19" t="s">
        <v>521</v>
      </c>
      <c r="N19">
        <v>18</v>
      </c>
    </row>
    <row r="20" spans="1:14" x14ac:dyDescent="0.3">
      <c r="A20">
        <v>100019</v>
      </c>
      <c r="B20">
        <v>6188069941</v>
      </c>
      <c r="C20" t="s">
        <v>32</v>
      </c>
      <c r="D20" t="s">
        <v>516</v>
      </c>
      <c r="E20" s="5">
        <v>45310</v>
      </c>
      <c r="F20" t="s">
        <v>518</v>
      </c>
      <c r="G20">
        <v>48164.88</v>
      </c>
      <c r="H20">
        <v>431468.45</v>
      </c>
      <c r="I20">
        <v>3.8</v>
      </c>
      <c r="J20">
        <v>750990.74</v>
      </c>
      <c r="K20">
        <v>18</v>
      </c>
      <c r="L20">
        <v>16560.169999999998</v>
      </c>
      <c r="M20" t="s">
        <v>523</v>
      </c>
      <c r="N20">
        <v>18</v>
      </c>
    </row>
    <row r="21" spans="1:14" x14ac:dyDescent="0.3">
      <c r="A21">
        <v>100020</v>
      </c>
      <c r="B21">
        <v>7733221635</v>
      </c>
      <c r="C21" t="s">
        <v>33</v>
      </c>
      <c r="D21" t="s">
        <v>515</v>
      </c>
      <c r="E21" s="5">
        <v>45311</v>
      </c>
      <c r="F21" t="s">
        <v>517</v>
      </c>
      <c r="G21">
        <v>24435.51</v>
      </c>
      <c r="H21">
        <v>364179.01</v>
      </c>
      <c r="I21">
        <v>7.39</v>
      </c>
      <c r="J21">
        <v>719326.71</v>
      </c>
      <c r="K21">
        <v>6</v>
      </c>
      <c r="L21">
        <v>13710.03</v>
      </c>
      <c r="M21" t="s">
        <v>519</v>
      </c>
      <c r="N21">
        <v>18</v>
      </c>
    </row>
    <row r="22" spans="1:14" x14ac:dyDescent="0.3">
      <c r="A22">
        <v>100021</v>
      </c>
      <c r="B22">
        <v>5429456860</v>
      </c>
      <c r="C22" t="s">
        <v>34</v>
      </c>
      <c r="D22" t="s">
        <v>516</v>
      </c>
      <c r="E22" s="5">
        <v>45312</v>
      </c>
      <c r="F22" t="s">
        <v>517</v>
      </c>
      <c r="G22">
        <v>40396.629999999997</v>
      </c>
      <c r="H22">
        <v>43157.5</v>
      </c>
      <c r="I22">
        <v>3.7</v>
      </c>
      <c r="J22">
        <v>451592.21</v>
      </c>
      <c r="K22">
        <v>2</v>
      </c>
      <c r="L22">
        <v>5291.97</v>
      </c>
      <c r="M22" t="s">
        <v>521</v>
      </c>
      <c r="N22">
        <v>18</v>
      </c>
    </row>
    <row r="23" spans="1:14" x14ac:dyDescent="0.3">
      <c r="A23">
        <v>100022</v>
      </c>
      <c r="B23">
        <v>7226646571</v>
      </c>
      <c r="C23" t="s">
        <v>35</v>
      </c>
      <c r="D23" t="s">
        <v>515</v>
      </c>
      <c r="E23" s="5">
        <v>45313</v>
      </c>
      <c r="F23" t="s">
        <v>517</v>
      </c>
      <c r="G23">
        <v>27736.21</v>
      </c>
      <c r="H23">
        <v>356839.2</v>
      </c>
      <c r="I23">
        <v>6.67</v>
      </c>
      <c r="J23">
        <v>379197.96</v>
      </c>
      <c r="K23">
        <v>11</v>
      </c>
      <c r="L23">
        <v>5405.9</v>
      </c>
      <c r="M23" t="s">
        <v>520</v>
      </c>
      <c r="N23">
        <v>18</v>
      </c>
    </row>
    <row r="24" spans="1:14" x14ac:dyDescent="0.3">
      <c r="A24">
        <v>100023</v>
      </c>
      <c r="B24">
        <v>6992124617</v>
      </c>
      <c r="C24" t="s">
        <v>36</v>
      </c>
      <c r="D24" t="s">
        <v>514</v>
      </c>
      <c r="E24" s="5">
        <v>45314</v>
      </c>
      <c r="F24" t="s">
        <v>517</v>
      </c>
      <c r="G24">
        <v>2648.92</v>
      </c>
      <c r="H24">
        <v>276333.73</v>
      </c>
      <c r="I24">
        <v>6.66</v>
      </c>
      <c r="J24">
        <v>427731.76</v>
      </c>
      <c r="K24">
        <v>14</v>
      </c>
      <c r="L24">
        <v>10469.219999999999</v>
      </c>
      <c r="M24" t="s">
        <v>522</v>
      </c>
      <c r="N24">
        <v>18</v>
      </c>
    </row>
    <row r="25" spans="1:14" x14ac:dyDescent="0.3">
      <c r="A25">
        <v>100024</v>
      </c>
      <c r="B25">
        <v>9274936803</v>
      </c>
      <c r="C25" t="s">
        <v>37</v>
      </c>
      <c r="D25" t="s">
        <v>516</v>
      </c>
      <c r="E25" s="5">
        <v>45315</v>
      </c>
      <c r="F25" t="s">
        <v>518</v>
      </c>
      <c r="G25">
        <v>31840.99</v>
      </c>
      <c r="H25">
        <v>50045.42</v>
      </c>
      <c r="I25">
        <v>3.59</v>
      </c>
      <c r="J25">
        <v>301062.45</v>
      </c>
      <c r="K25">
        <v>5</v>
      </c>
      <c r="L25">
        <v>3477.4</v>
      </c>
      <c r="M25" t="s">
        <v>519</v>
      </c>
      <c r="N25">
        <v>18</v>
      </c>
    </row>
    <row r="26" spans="1:14" x14ac:dyDescent="0.3">
      <c r="A26">
        <v>100025</v>
      </c>
      <c r="B26">
        <v>8418576734</v>
      </c>
      <c r="C26" t="s">
        <v>38</v>
      </c>
      <c r="D26" t="s">
        <v>516</v>
      </c>
      <c r="E26" s="5">
        <v>45316</v>
      </c>
      <c r="F26" t="s">
        <v>517</v>
      </c>
      <c r="G26">
        <v>47594.47</v>
      </c>
      <c r="H26">
        <v>234567.31</v>
      </c>
      <c r="I26">
        <v>6.14</v>
      </c>
      <c r="J26">
        <v>245066.29</v>
      </c>
      <c r="K26">
        <v>6</v>
      </c>
      <c r="L26">
        <v>31696.39</v>
      </c>
      <c r="M26" t="s">
        <v>519</v>
      </c>
      <c r="N26">
        <v>18</v>
      </c>
    </row>
    <row r="27" spans="1:14" x14ac:dyDescent="0.3">
      <c r="A27">
        <v>100026</v>
      </c>
      <c r="B27">
        <v>5128202429</v>
      </c>
      <c r="C27" t="s">
        <v>39</v>
      </c>
      <c r="D27" t="s">
        <v>515</v>
      </c>
      <c r="E27" s="5">
        <v>45317</v>
      </c>
      <c r="F27" t="s">
        <v>517</v>
      </c>
      <c r="G27">
        <v>30279.79</v>
      </c>
      <c r="H27">
        <v>247501.18</v>
      </c>
      <c r="I27">
        <v>4</v>
      </c>
      <c r="J27">
        <v>508887.71</v>
      </c>
      <c r="K27">
        <v>10</v>
      </c>
      <c r="L27">
        <v>15079.01</v>
      </c>
      <c r="M27" t="s">
        <v>522</v>
      </c>
      <c r="N27">
        <v>18</v>
      </c>
    </row>
    <row r="28" spans="1:14" x14ac:dyDescent="0.3">
      <c r="A28">
        <v>100027</v>
      </c>
      <c r="B28">
        <v>7612927342</v>
      </c>
      <c r="C28" t="s">
        <v>40</v>
      </c>
      <c r="D28" t="s">
        <v>515</v>
      </c>
      <c r="E28" s="5">
        <v>45318</v>
      </c>
      <c r="F28" t="s">
        <v>518</v>
      </c>
      <c r="G28">
        <v>41049.85</v>
      </c>
      <c r="H28">
        <v>91229.52</v>
      </c>
      <c r="I28">
        <v>10.27</v>
      </c>
      <c r="J28">
        <v>305107.07</v>
      </c>
      <c r="K28">
        <v>8</v>
      </c>
      <c r="L28">
        <v>14707.55</v>
      </c>
      <c r="M28" t="s">
        <v>522</v>
      </c>
      <c r="N28">
        <v>18</v>
      </c>
    </row>
    <row r="29" spans="1:14" x14ac:dyDescent="0.3">
      <c r="A29">
        <v>100028</v>
      </c>
      <c r="B29">
        <v>3520077079</v>
      </c>
      <c r="C29" t="s">
        <v>41</v>
      </c>
      <c r="D29" t="s">
        <v>516</v>
      </c>
      <c r="E29" s="5">
        <v>45319</v>
      </c>
      <c r="F29" t="s">
        <v>518</v>
      </c>
      <c r="G29">
        <v>44268.22</v>
      </c>
      <c r="H29">
        <v>473392.09</v>
      </c>
      <c r="I29">
        <v>11.53</v>
      </c>
      <c r="J29">
        <v>323088.58</v>
      </c>
      <c r="K29">
        <v>14</v>
      </c>
      <c r="L29">
        <v>17267.919999999998</v>
      </c>
      <c r="M29" t="s">
        <v>520</v>
      </c>
      <c r="N29">
        <v>18</v>
      </c>
    </row>
    <row r="30" spans="1:14" x14ac:dyDescent="0.3">
      <c r="A30">
        <v>100029</v>
      </c>
      <c r="B30">
        <v>9440707288</v>
      </c>
      <c r="C30" t="s">
        <v>42</v>
      </c>
      <c r="D30" t="s">
        <v>515</v>
      </c>
      <c r="E30" s="5">
        <v>45320</v>
      </c>
      <c r="F30" t="s">
        <v>518</v>
      </c>
      <c r="G30">
        <v>11789.95</v>
      </c>
      <c r="H30">
        <v>426487.93</v>
      </c>
      <c r="I30">
        <v>3.65</v>
      </c>
      <c r="J30">
        <v>673918.26</v>
      </c>
      <c r="K30">
        <v>3</v>
      </c>
      <c r="L30">
        <v>33477.019999999997</v>
      </c>
      <c r="M30" t="s">
        <v>519</v>
      </c>
      <c r="N30">
        <v>18</v>
      </c>
    </row>
    <row r="31" spans="1:14" x14ac:dyDescent="0.3">
      <c r="A31">
        <v>100030</v>
      </c>
      <c r="B31">
        <v>2272485020</v>
      </c>
      <c r="C31" t="s">
        <v>43</v>
      </c>
      <c r="D31" t="s">
        <v>515</v>
      </c>
      <c r="E31" s="5">
        <v>45321</v>
      </c>
      <c r="F31" t="s">
        <v>517</v>
      </c>
      <c r="G31">
        <v>10996.22</v>
      </c>
      <c r="H31">
        <v>337820.95</v>
      </c>
      <c r="I31">
        <v>11.6</v>
      </c>
      <c r="J31">
        <v>970110.47</v>
      </c>
      <c r="K31">
        <v>12</v>
      </c>
      <c r="L31">
        <v>43661.06</v>
      </c>
      <c r="M31" t="s">
        <v>519</v>
      </c>
      <c r="N31">
        <v>18</v>
      </c>
    </row>
    <row r="32" spans="1:14" x14ac:dyDescent="0.3">
      <c r="A32">
        <v>100031</v>
      </c>
      <c r="B32">
        <v>1067157848</v>
      </c>
      <c r="C32" t="s">
        <v>44</v>
      </c>
      <c r="D32" t="s">
        <v>515</v>
      </c>
      <c r="E32" s="5">
        <v>45322</v>
      </c>
      <c r="F32" t="s">
        <v>518</v>
      </c>
      <c r="G32">
        <v>30743.56</v>
      </c>
      <c r="H32">
        <v>236524.82</v>
      </c>
      <c r="I32">
        <v>7.7</v>
      </c>
      <c r="J32">
        <v>623455.34</v>
      </c>
      <c r="K32">
        <v>16</v>
      </c>
      <c r="L32">
        <v>38195.26</v>
      </c>
      <c r="M32" t="s">
        <v>523</v>
      </c>
      <c r="N32">
        <v>18</v>
      </c>
    </row>
    <row r="33" spans="1:14" x14ac:dyDescent="0.3">
      <c r="A33">
        <v>100032</v>
      </c>
      <c r="B33">
        <v>4055190407</v>
      </c>
      <c r="C33" t="s">
        <v>45</v>
      </c>
      <c r="D33" t="s">
        <v>514</v>
      </c>
      <c r="E33" s="5">
        <v>45323</v>
      </c>
      <c r="F33" t="s">
        <v>518</v>
      </c>
      <c r="G33">
        <v>20845.91</v>
      </c>
      <c r="H33">
        <v>211765.12</v>
      </c>
      <c r="I33">
        <v>5.7</v>
      </c>
      <c r="J33">
        <v>123130.49</v>
      </c>
      <c r="K33">
        <v>17</v>
      </c>
      <c r="L33">
        <v>36648.93</v>
      </c>
      <c r="M33" t="s">
        <v>521</v>
      </c>
      <c r="N33">
        <v>18</v>
      </c>
    </row>
    <row r="34" spans="1:14" x14ac:dyDescent="0.3">
      <c r="A34">
        <v>100033</v>
      </c>
      <c r="B34">
        <v>3602578298</v>
      </c>
      <c r="C34" t="s">
        <v>46</v>
      </c>
      <c r="D34" t="s">
        <v>514</v>
      </c>
      <c r="E34" s="5">
        <v>45324</v>
      </c>
      <c r="F34" t="s">
        <v>517</v>
      </c>
      <c r="G34">
        <v>42073.13</v>
      </c>
      <c r="H34">
        <v>328977</v>
      </c>
      <c r="I34">
        <v>3.69</v>
      </c>
      <c r="J34">
        <v>121804.43</v>
      </c>
      <c r="K34">
        <v>1</v>
      </c>
      <c r="L34">
        <v>24735.17</v>
      </c>
      <c r="M34" t="s">
        <v>521</v>
      </c>
      <c r="N34">
        <v>18</v>
      </c>
    </row>
    <row r="35" spans="1:14" x14ac:dyDescent="0.3">
      <c r="A35">
        <v>100034</v>
      </c>
      <c r="B35">
        <v>4978431977</v>
      </c>
      <c r="C35" t="s">
        <v>47</v>
      </c>
      <c r="D35" t="s">
        <v>515</v>
      </c>
      <c r="E35" s="5">
        <v>45325</v>
      </c>
      <c r="F35" t="s">
        <v>518</v>
      </c>
      <c r="G35">
        <v>45051.14</v>
      </c>
      <c r="H35">
        <v>277261.62</v>
      </c>
      <c r="I35">
        <v>7.51</v>
      </c>
      <c r="J35">
        <v>953852.06</v>
      </c>
      <c r="K35">
        <v>10</v>
      </c>
      <c r="L35">
        <v>34996.47</v>
      </c>
      <c r="M35" t="s">
        <v>523</v>
      </c>
      <c r="N35">
        <v>18</v>
      </c>
    </row>
    <row r="36" spans="1:14" x14ac:dyDescent="0.3">
      <c r="A36">
        <v>100035</v>
      </c>
      <c r="B36">
        <v>4929721883</v>
      </c>
      <c r="C36" t="s">
        <v>48</v>
      </c>
      <c r="D36" t="s">
        <v>515</v>
      </c>
      <c r="E36" s="5">
        <v>45326</v>
      </c>
      <c r="F36" t="s">
        <v>518</v>
      </c>
      <c r="G36">
        <v>17994.36</v>
      </c>
      <c r="H36">
        <v>40513.82</v>
      </c>
      <c r="I36">
        <v>10.15</v>
      </c>
      <c r="J36">
        <v>332426.25</v>
      </c>
      <c r="K36">
        <v>10</v>
      </c>
      <c r="L36">
        <v>28085.360000000001</v>
      </c>
      <c r="M36" t="s">
        <v>521</v>
      </c>
      <c r="N36">
        <v>18</v>
      </c>
    </row>
    <row r="37" spans="1:14" x14ac:dyDescent="0.3">
      <c r="A37">
        <v>100036</v>
      </c>
      <c r="B37">
        <v>5704750624</v>
      </c>
      <c r="C37" t="s">
        <v>49</v>
      </c>
      <c r="D37" t="s">
        <v>514</v>
      </c>
      <c r="E37" s="5">
        <v>45327</v>
      </c>
      <c r="F37" t="s">
        <v>518</v>
      </c>
      <c r="G37">
        <v>12225.09</v>
      </c>
      <c r="H37">
        <v>261126.3</v>
      </c>
      <c r="I37">
        <v>9.36</v>
      </c>
      <c r="J37">
        <v>137463.64000000001</v>
      </c>
      <c r="K37">
        <v>2</v>
      </c>
      <c r="L37">
        <v>11596.28</v>
      </c>
      <c r="M37" t="s">
        <v>522</v>
      </c>
      <c r="N37">
        <v>18</v>
      </c>
    </row>
    <row r="38" spans="1:14" x14ac:dyDescent="0.3">
      <c r="A38">
        <v>100037</v>
      </c>
      <c r="B38">
        <v>2644658402</v>
      </c>
      <c r="C38" t="s">
        <v>50</v>
      </c>
      <c r="D38" t="s">
        <v>514</v>
      </c>
      <c r="E38" s="5">
        <v>45328</v>
      </c>
      <c r="F38" t="s">
        <v>518</v>
      </c>
      <c r="G38">
        <v>39136.01</v>
      </c>
      <c r="H38">
        <v>405137.77</v>
      </c>
      <c r="I38">
        <v>3.45</v>
      </c>
      <c r="J38">
        <v>619092.36</v>
      </c>
      <c r="K38">
        <v>9</v>
      </c>
      <c r="L38">
        <v>11220.83</v>
      </c>
      <c r="M38" t="s">
        <v>521</v>
      </c>
      <c r="N38">
        <v>18</v>
      </c>
    </row>
    <row r="39" spans="1:14" x14ac:dyDescent="0.3">
      <c r="A39">
        <v>100038</v>
      </c>
      <c r="B39">
        <v>5173471662</v>
      </c>
      <c r="C39" t="s">
        <v>51</v>
      </c>
      <c r="D39" t="s">
        <v>516</v>
      </c>
      <c r="E39" s="5">
        <v>45329</v>
      </c>
      <c r="F39" t="s">
        <v>517</v>
      </c>
      <c r="G39">
        <v>14102.9</v>
      </c>
      <c r="H39">
        <v>235027.54</v>
      </c>
      <c r="I39">
        <v>3.66</v>
      </c>
      <c r="J39">
        <v>642466.34</v>
      </c>
      <c r="K39">
        <v>13</v>
      </c>
      <c r="L39">
        <v>15523.21</v>
      </c>
      <c r="M39" t="s">
        <v>521</v>
      </c>
      <c r="N39">
        <v>18</v>
      </c>
    </row>
    <row r="40" spans="1:14" x14ac:dyDescent="0.3">
      <c r="A40">
        <v>100039</v>
      </c>
      <c r="B40">
        <v>8941024386</v>
      </c>
      <c r="C40" t="s">
        <v>52</v>
      </c>
      <c r="D40" t="s">
        <v>516</v>
      </c>
      <c r="E40" s="5">
        <v>45330</v>
      </c>
      <c r="F40" t="s">
        <v>518</v>
      </c>
      <c r="G40">
        <v>41219.410000000003</v>
      </c>
      <c r="H40">
        <v>35458.720000000001</v>
      </c>
      <c r="I40">
        <v>6.63</v>
      </c>
      <c r="J40">
        <v>666079.57999999996</v>
      </c>
      <c r="K40">
        <v>16</v>
      </c>
      <c r="L40">
        <v>45629.33</v>
      </c>
      <c r="M40" t="s">
        <v>523</v>
      </c>
      <c r="N40">
        <v>18</v>
      </c>
    </row>
    <row r="41" spans="1:14" x14ac:dyDescent="0.3">
      <c r="A41">
        <v>100040</v>
      </c>
      <c r="B41">
        <v>4099804676</v>
      </c>
      <c r="C41" t="s">
        <v>53</v>
      </c>
      <c r="D41" t="s">
        <v>514</v>
      </c>
      <c r="E41" s="5">
        <v>45331</v>
      </c>
      <c r="F41" t="s">
        <v>518</v>
      </c>
      <c r="G41">
        <v>21475.040000000001</v>
      </c>
      <c r="H41">
        <v>395276.32</v>
      </c>
      <c r="I41">
        <v>5.66</v>
      </c>
      <c r="J41">
        <v>304031.93</v>
      </c>
      <c r="K41">
        <v>18</v>
      </c>
      <c r="L41">
        <v>27823.33</v>
      </c>
      <c r="M41" t="s">
        <v>520</v>
      </c>
      <c r="N41">
        <v>18</v>
      </c>
    </row>
    <row r="42" spans="1:14" x14ac:dyDescent="0.3">
      <c r="A42">
        <v>100041</v>
      </c>
      <c r="B42">
        <v>6308514806</v>
      </c>
      <c r="C42" t="s">
        <v>54</v>
      </c>
      <c r="D42" t="s">
        <v>515</v>
      </c>
      <c r="E42" s="5">
        <v>45332</v>
      </c>
      <c r="F42" t="s">
        <v>517</v>
      </c>
      <c r="G42">
        <v>33543.72</v>
      </c>
      <c r="H42">
        <v>108668.25</v>
      </c>
      <c r="I42">
        <v>5.09</v>
      </c>
      <c r="J42">
        <v>64355.15</v>
      </c>
      <c r="K42">
        <v>19</v>
      </c>
      <c r="L42">
        <v>36961.360000000001</v>
      </c>
      <c r="M42" t="s">
        <v>521</v>
      </c>
      <c r="N42">
        <v>18</v>
      </c>
    </row>
    <row r="43" spans="1:14" x14ac:dyDescent="0.3">
      <c r="A43">
        <v>100042</v>
      </c>
      <c r="B43">
        <v>9763595546</v>
      </c>
      <c r="C43" t="s">
        <v>55</v>
      </c>
      <c r="D43" t="s">
        <v>515</v>
      </c>
      <c r="E43" s="5">
        <v>45333</v>
      </c>
      <c r="F43" t="s">
        <v>518</v>
      </c>
      <c r="G43">
        <v>5229</v>
      </c>
      <c r="H43">
        <v>136724.21</v>
      </c>
      <c r="I43">
        <v>5.53</v>
      </c>
      <c r="J43">
        <v>966764.6</v>
      </c>
      <c r="K43">
        <v>12</v>
      </c>
      <c r="L43">
        <v>17981.38</v>
      </c>
      <c r="M43" t="s">
        <v>521</v>
      </c>
      <c r="N43">
        <v>18</v>
      </c>
    </row>
    <row r="44" spans="1:14" x14ac:dyDescent="0.3">
      <c r="A44">
        <v>100043</v>
      </c>
      <c r="B44">
        <v>4052273870</v>
      </c>
      <c r="C44" t="s">
        <v>56</v>
      </c>
      <c r="D44" t="s">
        <v>515</v>
      </c>
      <c r="E44" s="5">
        <v>45334</v>
      </c>
      <c r="F44" t="s">
        <v>517</v>
      </c>
      <c r="G44">
        <v>31381.040000000001</v>
      </c>
      <c r="H44">
        <v>90706.11</v>
      </c>
      <c r="I44">
        <v>10.23</v>
      </c>
      <c r="J44">
        <v>288348.39</v>
      </c>
      <c r="K44">
        <v>8</v>
      </c>
      <c r="L44">
        <v>20978.07</v>
      </c>
      <c r="M44" t="s">
        <v>520</v>
      </c>
      <c r="N44">
        <v>18</v>
      </c>
    </row>
    <row r="45" spans="1:14" x14ac:dyDescent="0.3">
      <c r="A45">
        <v>100044</v>
      </c>
      <c r="B45">
        <v>7181903227</v>
      </c>
      <c r="C45" t="s">
        <v>57</v>
      </c>
      <c r="D45" t="s">
        <v>515</v>
      </c>
      <c r="E45" s="5">
        <v>45335</v>
      </c>
      <c r="F45" t="s">
        <v>518</v>
      </c>
      <c r="G45">
        <v>22862.5</v>
      </c>
      <c r="H45">
        <v>171805.38</v>
      </c>
      <c r="I45">
        <v>11.36</v>
      </c>
      <c r="J45">
        <v>692224.97</v>
      </c>
      <c r="K45">
        <v>17</v>
      </c>
      <c r="L45">
        <v>7152.71</v>
      </c>
      <c r="M45" t="s">
        <v>523</v>
      </c>
      <c r="N45">
        <v>18</v>
      </c>
    </row>
    <row r="46" spans="1:14" x14ac:dyDescent="0.3">
      <c r="A46">
        <v>100045</v>
      </c>
      <c r="B46">
        <v>1866377394</v>
      </c>
      <c r="C46" t="s">
        <v>58</v>
      </c>
      <c r="D46" t="s">
        <v>516</v>
      </c>
      <c r="E46" s="5">
        <v>45336</v>
      </c>
      <c r="F46" t="s">
        <v>517</v>
      </c>
      <c r="G46">
        <v>29537.119999999999</v>
      </c>
      <c r="H46">
        <v>380808.24</v>
      </c>
      <c r="I46">
        <v>6.65</v>
      </c>
      <c r="J46">
        <v>721298.38</v>
      </c>
      <c r="K46">
        <v>15</v>
      </c>
      <c r="L46">
        <v>9393.4500000000007</v>
      </c>
      <c r="M46" t="s">
        <v>520</v>
      </c>
      <c r="N46">
        <v>18</v>
      </c>
    </row>
    <row r="47" spans="1:14" x14ac:dyDescent="0.3">
      <c r="A47">
        <v>100046</v>
      </c>
      <c r="B47">
        <v>5893391332</v>
      </c>
      <c r="C47" t="s">
        <v>59</v>
      </c>
      <c r="D47" t="s">
        <v>514</v>
      </c>
      <c r="E47" s="5">
        <v>45337</v>
      </c>
      <c r="F47" t="s">
        <v>517</v>
      </c>
      <c r="G47">
        <v>8816.7000000000007</v>
      </c>
      <c r="H47">
        <v>264499.07</v>
      </c>
      <c r="I47">
        <v>11.15</v>
      </c>
      <c r="J47">
        <v>629507.05000000005</v>
      </c>
      <c r="K47">
        <v>10</v>
      </c>
      <c r="L47">
        <v>41540.47</v>
      </c>
      <c r="M47" t="s">
        <v>523</v>
      </c>
      <c r="N47">
        <v>18</v>
      </c>
    </row>
    <row r="48" spans="1:14" x14ac:dyDescent="0.3">
      <c r="A48">
        <v>100047</v>
      </c>
      <c r="B48">
        <v>3318599822</v>
      </c>
      <c r="C48" t="s">
        <v>60</v>
      </c>
      <c r="D48" t="s">
        <v>515</v>
      </c>
      <c r="E48" s="5">
        <v>45338</v>
      </c>
      <c r="F48" t="s">
        <v>517</v>
      </c>
      <c r="G48">
        <v>36975.25</v>
      </c>
      <c r="H48">
        <v>110391.82</v>
      </c>
      <c r="I48">
        <v>5.89</v>
      </c>
      <c r="J48">
        <v>347262.02</v>
      </c>
      <c r="K48">
        <v>15</v>
      </c>
      <c r="L48">
        <v>29657.09</v>
      </c>
      <c r="M48" t="s">
        <v>522</v>
      </c>
      <c r="N48">
        <v>18</v>
      </c>
    </row>
    <row r="49" spans="1:14" x14ac:dyDescent="0.3">
      <c r="A49">
        <v>100048</v>
      </c>
      <c r="B49">
        <v>9076547867</v>
      </c>
      <c r="C49" t="s">
        <v>61</v>
      </c>
      <c r="D49" t="s">
        <v>516</v>
      </c>
      <c r="E49" s="5">
        <v>45339</v>
      </c>
      <c r="F49" t="s">
        <v>517</v>
      </c>
      <c r="G49">
        <v>43208.46</v>
      </c>
      <c r="H49">
        <v>440136.74</v>
      </c>
      <c r="I49">
        <v>7.29</v>
      </c>
      <c r="J49">
        <v>307541.44</v>
      </c>
      <c r="K49">
        <v>15</v>
      </c>
      <c r="L49">
        <v>17539.09</v>
      </c>
      <c r="M49" t="s">
        <v>523</v>
      </c>
      <c r="N49">
        <v>18</v>
      </c>
    </row>
    <row r="50" spans="1:14" x14ac:dyDescent="0.3">
      <c r="A50">
        <v>100049</v>
      </c>
      <c r="B50">
        <v>7976547497</v>
      </c>
      <c r="C50" t="s">
        <v>62</v>
      </c>
      <c r="D50" t="s">
        <v>515</v>
      </c>
      <c r="E50" s="5">
        <v>45340</v>
      </c>
      <c r="F50" t="s">
        <v>518</v>
      </c>
      <c r="G50">
        <v>11228.62</v>
      </c>
      <c r="H50">
        <v>440995.11</v>
      </c>
      <c r="I50">
        <v>5.03</v>
      </c>
      <c r="J50">
        <v>617784.87</v>
      </c>
      <c r="K50">
        <v>7</v>
      </c>
      <c r="L50">
        <v>40339.71</v>
      </c>
      <c r="M50" t="s">
        <v>522</v>
      </c>
      <c r="N50">
        <v>18</v>
      </c>
    </row>
    <row r="51" spans="1:14" x14ac:dyDescent="0.3">
      <c r="A51">
        <v>100050</v>
      </c>
      <c r="B51">
        <v>2269737021</v>
      </c>
      <c r="C51" t="s">
        <v>63</v>
      </c>
      <c r="D51" t="s">
        <v>514</v>
      </c>
      <c r="E51" s="5">
        <v>45341</v>
      </c>
      <c r="F51" t="s">
        <v>517</v>
      </c>
      <c r="G51">
        <v>5237.87</v>
      </c>
      <c r="H51">
        <v>436583.43</v>
      </c>
      <c r="I51">
        <v>8.76</v>
      </c>
      <c r="J51">
        <v>872790.85</v>
      </c>
      <c r="K51">
        <v>13</v>
      </c>
      <c r="L51">
        <v>13079.48</v>
      </c>
      <c r="M51" t="s">
        <v>522</v>
      </c>
      <c r="N51">
        <v>18</v>
      </c>
    </row>
    <row r="52" spans="1:14" x14ac:dyDescent="0.3">
      <c r="A52">
        <v>100051</v>
      </c>
      <c r="B52">
        <v>1453094388</v>
      </c>
      <c r="C52" t="s">
        <v>64</v>
      </c>
      <c r="D52" t="s">
        <v>516</v>
      </c>
      <c r="E52" s="5">
        <v>45342</v>
      </c>
      <c r="F52" t="s">
        <v>518</v>
      </c>
      <c r="G52">
        <v>1670.11</v>
      </c>
      <c r="H52">
        <v>127010.14</v>
      </c>
      <c r="I52">
        <v>11.81</v>
      </c>
      <c r="J52">
        <v>949397.04</v>
      </c>
      <c r="K52">
        <v>17</v>
      </c>
      <c r="L52">
        <v>48825.599999999999</v>
      </c>
      <c r="M52" t="s">
        <v>523</v>
      </c>
      <c r="N52">
        <v>18</v>
      </c>
    </row>
    <row r="53" spans="1:14" x14ac:dyDescent="0.3">
      <c r="A53">
        <v>100052</v>
      </c>
      <c r="B53">
        <v>7255768347</v>
      </c>
      <c r="C53" t="s">
        <v>65</v>
      </c>
      <c r="D53" t="s">
        <v>514</v>
      </c>
      <c r="E53" s="5">
        <v>45343</v>
      </c>
      <c r="F53" t="s">
        <v>517</v>
      </c>
      <c r="G53">
        <v>32277.59</v>
      </c>
      <c r="H53">
        <v>231107.28</v>
      </c>
      <c r="I53">
        <v>8.43</v>
      </c>
      <c r="J53">
        <v>150610.51</v>
      </c>
      <c r="K53">
        <v>9</v>
      </c>
      <c r="L53">
        <v>17896.060000000001</v>
      </c>
      <c r="M53" t="s">
        <v>519</v>
      </c>
      <c r="N53">
        <v>18</v>
      </c>
    </row>
    <row r="54" spans="1:14" x14ac:dyDescent="0.3">
      <c r="A54">
        <v>100053</v>
      </c>
      <c r="B54">
        <v>9088627133</v>
      </c>
      <c r="C54" t="s">
        <v>66</v>
      </c>
      <c r="D54" t="s">
        <v>514</v>
      </c>
      <c r="E54" s="5">
        <v>45344</v>
      </c>
      <c r="F54" t="s">
        <v>517</v>
      </c>
      <c r="G54">
        <v>30551.15</v>
      </c>
      <c r="H54">
        <v>492644.93</v>
      </c>
      <c r="I54">
        <v>6.22</v>
      </c>
      <c r="J54">
        <v>197087.18</v>
      </c>
      <c r="K54">
        <v>8</v>
      </c>
      <c r="L54">
        <v>17528.240000000002</v>
      </c>
      <c r="M54" t="s">
        <v>523</v>
      </c>
      <c r="N54">
        <v>18</v>
      </c>
    </row>
    <row r="55" spans="1:14" x14ac:dyDescent="0.3">
      <c r="A55">
        <v>100054</v>
      </c>
      <c r="B55">
        <v>5819331062</v>
      </c>
      <c r="C55" t="s">
        <v>67</v>
      </c>
      <c r="D55" t="s">
        <v>516</v>
      </c>
      <c r="E55" s="5">
        <v>45345</v>
      </c>
      <c r="F55" t="s">
        <v>517</v>
      </c>
      <c r="G55">
        <v>27561.52</v>
      </c>
      <c r="H55">
        <v>388286.11</v>
      </c>
      <c r="I55">
        <v>8.83</v>
      </c>
      <c r="J55">
        <v>947499.45</v>
      </c>
      <c r="K55">
        <v>18</v>
      </c>
      <c r="L55">
        <v>16283.68</v>
      </c>
      <c r="M55" t="s">
        <v>521</v>
      </c>
      <c r="N55">
        <v>18</v>
      </c>
    </row>
    <row r="56" spans="1:14" x14ac:dyDescent="0.3">
      <c r="A56">
        <v>100055</v>
      </c>
      <c r="B56">
        <v>2168799104</v>
      </c>
      <c r="C56" t="s">
        <v>68</v>
      </c>
      <c r="D56" t="s">
        <v>516</v>
      </c>
      <c r="E56" s="5">
        <v>45346</v>
      </c>
      <c r="F56" t="s">
        <v>518</v>
      </c>
      <c r="G56">
        <v>11981.38</v>
      </c>
      <c r="H56">
        <v>23312.04</v>
      </c>
      <c r="I56">
        <v>4.1100000000000003</v>
      </c>
      <c r="J56">
        <v>749708.47</v>
      </c>
      <c r="K56">
        <v>13</v>
      </c>
      <c r="L56">
        <v>6983.46</v>
      </c>
      <c r="M56" t="s">
        <v>521</v>
      </c>
      <c r="N56">
        <v>18</v>
      </c>
    </row>
    <row r="57" spans="1:14" x14ac:dyDescent="0.3">
      <c r="A57">
        <v>100056</v>
      </c>
      <c r="B57">
        <v>3781807898</v>
      </c>
      <c r="C57" t="s">
        <v>69</v>
      </c>
      <c r="D57" t="s">
        <v>516</v>
      </c>
      <c r="E57" s="5">
        <v>45347</v>
      </c>
      <c r="F57" t="s">
        <v>517</v>
      </c>
      <c r="G57">
        <v>19849.849999999999</v>
      </c>
      <c r="H57">
        <v>41950.25</v>
      </c>
      <c r="I57">
        <v>11</v>
      </c>
      <c r="J57">
        <v>888844.13</v>
      </c>
      <c r="K57">
        <v>16</v>
      </c>
      <c r="L57">
        <v>6445.72</v>
      </c>
      <c r="M57" t="s">
        <v>519</v>
      </c>
      <c r="N57">
        <v>18</v>
      </c>
    </row>
    <row r="58" spans="1:14" x14ac:dyDescent="0.3">
      <c r="A58">
        <v>100057</v>
      </c>
      <c r="B58">
        <v>5297202296</v>
      </c>
      <c r="C58" t="s">
        <v>70</v>
      </c>
      <c r="D58" t="s">
        <v>516</v>
      </c>
      <c r="E58" s="5">
        <v>45348</v>
      </c>
      <c r="F58" t="s">
        <v>518</v>
      </c>
      <c r="G58">
        <v>29926.58</v>
      </c>
      <c r="H58">
        <v>237326.37</v>
      </c>
      <c r="I58">
        <v>7.53</v>
      </c>
      <c r="J58">
        <v>242501</v>
      </c>
      <c r="K58">
        <v>9</v>
      </c>
      <c r="L58">
        <v>32757.15</v>
      </c>
      <c r="M58" t="s">
        <v>522</v>
      </c>
      <c r="N58">
        <v>18</v>
      </c>
    </row>
    <row r="59" spans="1:14" x14ac:dyDescent="0.3">
      <c r="A59">
        <v>100058</v>
      </c>
      <c r="B59">
        <v>2309025538</v>
      </c>
      <c r="C59" t="s">
        <v>71</v>
      </c>
      <c r="D59" t="s">
        <v>516</v>
      </c>
      <c r="E59" s="5">
        <v>45349</v>
      </c>
      <c r="F59" t="s">
        <v>518</v>
      </c>
      <c r="G59">
        <v>25089.96</v>
      </c>
      <c r="H59">
        <v>455517.9</v>
      </c>
      <c r="I59">
        <v>7.04</v>
      </c>
      <c r="J59">
        <v>608206.57999999996</v>
      </c>
      <c r="K59">
        <v>12</v>
      </c>
      <c r="L59">
        <v>43880.78</v>
      </c>
      <c r="M59" t="s">
        <v>519</v>
      </c>
      <c r="N59">
        <v>18</v>
      </c>
    </row>
    <row r="60" spans="1:14" x14ac:dyDescent="0.3">
      <c r="A60">
        <v>100059</v>
      </c>
      <c r="B60">
        <v>3082328893</v>
      </c>
      <c r="C60" t="s">
        <v>72</v>
      </c>
      <c r="D60" t="s">
        <v>516</v>
      </c>
      <c r="E60" s="5">
        <v>45350</v>
      </c>
      <c r="F60" t="s">
        <v>518</v>
      </c>
      <c r="G60">
        <v>49395.38</v>
      </c>
      <c r="H60">
        <v>273963.88</v>
      </c>
      <c r="I60">
        <v>8.27</v>
      </c>
      <c r="J60">
        <v>716082.61</v>
      </c>
      <c r="K60">
        <v>12</v>
      </c>
      <c r="L60">
        <v>39735.51</v>
      </c>
      <c r="M60" t="s">
        <v>521</v>
      </c>
      <c r="N60">
        <v>18</v>
      </c>
    </row>
    <row r="61" spans="1:14" x14ac:dyDescent="0.3">
      <c r="A61">
        <v>100060</v>
      </c>
      <c r="B61">
        <v>3973990112</v>
      </c>
      <c r="C61" t="s">
        <v>73</v>
      </c>
      <c r="D61" t="s">
        <v>516</v>
      </c>
      <c r="E61" s="5">
        <v>45351</v>
      </c>
      <c r="F61" t="s">
        <v>518</v>
      </c>
      <c r="G61">
        <v>7253.77</v>
      </c>
      <c r="H61">
        <v>253928.13</v>
      </c>
      <c r="I61">
        <v>8.6199999999999992</v>
      </c>
      <c r="J61">
        <v>696106.29</v>
      </c>
      <c r="K61">
        <v>6</v>
      </c>
      <c r="L61">
        <v>7914.27</v>
      </c>
      <c r="M61" t="s">
        <v>519</v>
      </c>
      <c r="N61">
        <v>18</v>
      </c>
    </row>
    <row r="62" spans="1:14" x14ac:dyDescent="0.3">
      <c r="A62">
        <v>100061</v>
      </c>
      <c r="B62">
        <v>6234552479</v>
      </c>
      <c r="C62" t="s">
        <v>74</v>
      </c>
      <c r="D62" t="s">
        <v>515</v>
      </c>
      <c r="E62" s="5">
        <v>45352</v>
      </c>
      <c r="F62" t="s">
        <v>518</v>
      </c>
      <c r="G62">
        <v>34909.660000000003</v>
      </c>
      <c r="H62">
        <v>61682.11</v>
      </c>
      <c r="I62">
        <v>3.65</v>
      </c>
      <c r="J62">
        <v>437744.11</v>
      </c>
      <c r="K62">
        <v>19</v>
      </c>
      <c r="L62">
        <v>27733.52</v>
      </c>
      <c r="M62" t="s">
        <v>523</v>
      </c>
      <c r="N62">
        <v>18</v>
      </c>
    </row>
    <row r="63" spans="1:14" x14ac:dyDescent="0.3">
      <c r="A63">
        <v>100062</v>
      </c>
      <c r="B63">
        <v>2734463155</v>
      </c>
      <c r="C63" t="s">
        <v>75</v>
      </c>
      <c r="D63" t="s">
        <v>514</v>
      </c>
      <c r="E63" s="5">
        <v>45353</v>
      </c>
      <c r="F63" t="s">
        <v>518</v>
      </c>
      <c r="G63">
        <v>20513.78</v>
      </c>
      <c r="H63">
        <v>331822.25</v>
      </c>
      <c r="I63">
        <v>9.14</v>
      </c>
      <c r="J63">
        <v>64625.15</v>
      </c>
      <c r="K63">
        <v>7</v>
      </c>
      <c r="L63">
        <v>6173.99</v>
      </c>
      <c r="M63" t="s">
        <v>519</v>
      </c>
      <c r="N63">
        <v>18</v>
      </c>
    </row>
    <row r="64" spans="1:14" x14ac:dyDescent="0.3">
      <c r="A64">
        <v>100063</v>
      </c>
      <c r="B64">
        <v>1278710077</v>
      </c>
      <c r="C64" t="s">
        <v>76</v>
      </c>
      <c r="D64" t="s">
        <v>516</v>
      </c>
      <c r="E64" s="5">
        <v>45354</v>
      </c>
      <c r="F64" t="s">
        <v>518</v>
      </c>
      <c r="G64">
        <v>21695.88</v>
      </c>
      <c r="H64">
        <v>412830.55</v>
      </c>
      <c r="I64">
        <v>5.18</v>
      </c>
      <c r="J64">
        <v>603779.75</v>
      </c>
      <c r="K64">
        <v>3</v>
      </c>
      <c r="L64">
        <v>3219.44</v>
      </c>
      <c r="M64" t="s">
        <v>522</v>
      </c>
      <c r="N64">
        <v>18</v>
      </c>
    </row>
    <row r="65" spans="1:14" x14ac:dyDescent="0.3">
      <c r="A65">
        <v>100064</v>
      </c>
      <c r="B65">
        <v>2090558393</v>
      </c>
      <c r="C65" t="s">
        <v>77</v>
      </c>
      <c r="D65" t="s">
        <v>515</v>
      </c>
      <c r="E65" s="5">
        <v>45355</v>
      </c>
      <c r="F65" t="s">
        <v>518</v>
      </c>
      <c r="G65">
        <v>36021.089999999997</v>
      </c>
      <c r="H65">
        <v>196405.8</v>
      </c>
      <c r="I65">
        <v>9.43</v>
      </c>
      <c r="J65">
        <v>290446.46000000002</v>
      </c>
      <c r="K65">
        <v>16</v>
      </c>
      <c r="L65">
        <v>33162.910000000003</v>
      </c>
      <c r="M65" t="s">
        <v>523</v>
      </c>
      <c r="N65">
        <v>18</v>
      </c>
    </row>
    <row r="66" spans="1:14" x14ac:dyDescent="0.3">
      <c r="A66">
        <v>100065</v>
      </c>
      <c r="B66">
        <v>8285571366</v>
      </c>
      <c r="C66" t="s">
        <v>78</v>
      </c>
      <c r="D66" t="s">
        <v>515</v>
      </c>
      <c r="E66" s="5">
        <v>45356</v>
      </c>
      <c r="F66" t="s">
        <v>518</v>
      </c>
      <c r="G66">
        <v>34775.589999999997</v>
      </c>
      <c r="H66">
        <v>390049.81</v>
      </c>
      <c r="I66">
        <v>10.4</v>
      </c>
      <c r="J66">
        <v>477741.53</v>
      </c>
      <c r="K66">
        <v>18</v>
      </c>
      <c r="L66">
        <v>27222.46</v>
      </c>
      <c r="M66" t="s">
        <v>520</v>
      </c>
      <c r="N66">
        <v>18</v>
      </c>
    </row>
    <row r="67" spans="1:14" x14ac:dyDescent="0.3">
      <c r="A67">
        <v>100066</v>
      </c>
      <c r="B67">
        <v>8354146178</v>
      </c>
      <c r="C67" t="s">
        <v>79</v>
      </c>
      <c r="D67" t="s">
        <v>515</v>
      </c>
      <c r="E67" s="5">
        <v>45357</v>
      </c>
      <c r="F67" t="s">
        <v>517</v>
      </c>
      <c r="G67">
        <v>49567.17</v>
      </c>
      <c r="H67">
        <v>482593.56</v>
      </c>
      <c r="I67">
        <v>10.24</v>
      </c>
      <c r="J67">
        <v>959701.96</v>
      </c>
      <c r="K67">
        <v>16</v>
      </c>
      <c r="L67">
        <v>5019.16</v>
      </c>
      <c r="M67" t="s">
        <v>521</v>
      </c>
      <c r="N67">
        <v>18</v>
      </c>
    </row>
    <row r="68" spans="1:14" x14ac:dyDescent="0.3">
      <c r="A68">
        <v>100067</v>
      </c>
      <c r="B68">
        <v>1636028516</v>
      </c>
      <c r="C68" t="s">
        <v>80</v>
      </c>
      <c r="D68" t="s">
        <v>514</v>
      </c>
      <c r="E68" s="5">
        <v>45358</v>
      </c>
      <c r="F68" t="s">
        <v>517</v>
      </c>
      <c r="G68">
        <v>6855.52</v>
      </c>
      <c r="H68">
        <v>109845.56</v>
      </c>
      <c r="I68">
        <v>7.97</v>
      </c>
      <c r="J68">
        <v>429083.55</v>
      </c>
      <c r="K68">
        <v>7</v>
      </c>
      <c r="L68">
        <v>2712.02</v>
      </c>
      <c r="M68" t="s">
        <v>521</v>
      </c>
      <c r="N68">
        <v>18</v>
      </c>
    </row>
    <row r="69" spans="1:14" x14ac:dyDescent="0.3">
      <c r="A69">
        <v>100068</v>
      </c>
      <c r="B69">
        <v>5285262775</v>
      </c>
      <c r="C69" t="s">
        <v>81</v>
      </c>
      <c r="D69" t="s">
        <v>516</v>
      </c>
      <c r="E69" s="5">
        <v>45359</v>
      </c>
      <c r="F69" t="s">
        <v>517</v>
      </c>
      <c r="G69">
        <v>5653.43</v>
      </c>
      <c r="H69">
        <v>266431.52</v>
      </c>
      <c r="I69">
        <v>7.68</v>
      </c>
      <c r="J69">
        <v>847811.53</v>
      </c>
      <c r="K69">
        <v>4</v>
      </c>
      <c r="L69">
        <v>49498.06</v>
      </c>
      <c r="M69" t="s">
        <v>519</v>
      </c>
      <c r="N69">
        <v>18</v>
      </c>
    </row>
    <row r="70" spans="1:14" x14ac:dyDescent="0.3">
      <c r="A70">
        <v>100069</v>
      </c>
      <c r="B70">
        <v>2145815738</v>
      </c>
      <c r="C70" t="s">
        <v>82</v>
      </c>
      <c r="D70" t="s">
        <v>515</v>
      </c>
      <c r="E70" s="5">
        <v>45360</v>
      </c>
      <c r="F70" t="s">
        <v>517</v>
      </c>
      <c r="G70">
        <v>36354.769999999997</v>
      </c>
      <c r="H70">
        <v>150697.60000000001</v>
      </c>
      <c r="I70">
        <v>4.29</v>
      </c>
      <c r="J70">
        <v>229113.58</v>
      </c>
      <c r="K70">
        <v>8</v>
      </c>
      <c r="L70">
        <v>2471.0500000000002</v>
      </c>
      <c r="M70" t="s">
        <v>523</v>
      </c>
      <c r="N70">
        <v>18</v>
      </c>
    </row>
    <row r="71" spans="1:14" x14ac:dyDescent="0.3">
      <c r="A71">
        <v>100070</v>
      </c>
      <c r="B71">
        <v>5194529281</v>
      </c>
      <c r="C71" t="s">
        <v>83</v>
      </c>
      <c r="D71" t="s">
        <v>514</v>
      </c>
      <c r="E71" s="5">
        <v>45361</v>
      </c>
      <c r="F71" t="s">
        <v>517</v>
      </c>
      <c r="G71">
        <v>29130.15</v>
      </c>
      <c r="H71">
        <v>398498.67</v>
      </c>
      <c r="I71">
        <v>9.98</v>
      </c>
      <c r="J71">
        <v>688837.47</v>
      </c>
      <c r="K71">
        <v>13</v>
      </c>
      <c r="L71">
        <v>22781.88</v>
      </c>
      <c r="M71" t="s">
        <v>520</v>
      </c>
      <c r="N71">
        <v>18</v>
      </c>
    </row>
    <row r="72" spans="1:14" x14ac:dyDescent="0.3">
      <c r="A72">
        <v>100071</v>
      </c>
      <c r="B72">
        <v>7060357851</v>
      </c>
      <c r="C72" t="s">
        <v>84</v>
      </c>
      <c r="D72" t="s">
        <v>514</v>
      </c>
      <c r="E72" s="5">
        <v>45362</v>
      </c>
      <c r="F72" t="s">
        <v>518</v>
      </c>
      <c r="G72">
        <v>14070.95</v>
      </c>
      <c r="H72">
        <v>293020.75</v>
      </c>
      <c r="I72">
        <v>5.44</v>
      </c>
      <c r="J72">
        <v>978156.61</v>
      </c>
      <c r="K72">
        <v>13</v>
      </c>
      <c r="L72">
        <v>25726.33</v>
      </c>
      <c r="M72" t="s">
        <v>523</v>
      </c>
      <c r="N72">
        <v>18</v>
      </c>
    </row>
    <row r="73" spans="1:14" x14ac:dyDescent="0.3">
      <c r="A73">
        <v>100072</v>
      </c>
      <c r="B73">
        <v>5436919126</v>
      </c>
      <c r="C73" t="s">
        <v>85</v>
      </c>
      <c r="D73" t="s">
        <v>514</v>
      </c>
      <c r="E73" s="5">
        <v>45363</v>
      </c>
      <c r="F73" t="s">
        <v>518</v>
      </c>
      <c r="G73">
        <v>4431.26</v>
      </c>
      <c r="H73">
        <v>320945.38</v>
      </c>
      <c r="I73">
        <v>7.47</v>
      </c>
      <c r="J73">
        <v>146798.45000000001</v>
      </c>
      <c r="K73">
        <v>17</v>
      </c>
      <c r="L73">
        <v>6746.73</v>
      </c>
      <c r="M73" t="s">
        <v>521</v>
      </c>
      <c r="N73">
        <v>18</v>
      </c>
    </row>
    <row r="74" spans="1:14" x14ac:dyDescent="0.3">
      <c r="A74">
        <v>100073</v>
      </c>
      <c r="B74">
        <v>2482069727</v>
      </c>
      <c r="C74" t="s">
        <v>86</v>
      </c>
      <c r="D74" t="s">
        <v>515</v>
      </c>
      <c r="E74" s="5">
        <v>45364</v>
      </c>
      <c r="F74" t="s">
        <v>518</v>
      </c>
      <c r="G74">
        <v>4740.08</v>
      </c>
      <c r="H74">
        <v>400977.94</v>
      </c>
      <c r="I74">
        <v>5.56</v>
      </c>
      <c r="J74">
        <v>57903.95</v>
      </c>
      <c r="K74">
        <v>17</v>
      </c>
      <c r="L74">
        <v>9284.0300000000007</v>
      </c>
      <c r="M74" t="s">
        <v>523</v>
      </c>
      <c r="N74">
        <v>18</v>
      </c>
    </row>
    <row r="75" spans="1:14" x14ac:dyDescent="0.3">
      <c r="A75">
        <v>100074</v>
      </c>
      <c r="B75">
        <v>3724518272</v>
      </c>
      <c r="C75" t="s">
        <v>87</v>
      </c>
      <c r="D75" t="s">
        <v>516</v>
      </c>
      <c r="E75" s="5">
        <v>45365</v>
      </c>
      <c r="F75" t="s">
        <v>518</v>
      </c>
      <c r="G75">
        <v>44762.45</v>
      </c>
      <c r="H75">
        <v>204025.53</v>
      </c>
      <c r="I75">
        <v>4.2</v>
      </c>
      <c r="J75">
        <v>461903.65</v>
      </c>
      <c r="K75">
        <v>5</v>
      </c>
      <c r="L75">
        <v>18238.45</v>
      </c>
      <c r="M75" t="s">
        <v>520</v>
      </c>
      <c r="N75">
        <v>18</v>
      </c>
    </row>
    <row r="76" spans="1:14" x14ac:dyDescent="0.3">
      <c r="A76">
        <v>100075</v>
      </c>
      <c r="B76">
        <v>7575313972</v>
      </c>
      <c r="C76" t="s">
        <v>88</v>
      </c>
      <c r="D76" t="s">
        <v>515</v>
      </c>
      <c r="E76" s="5">
        <v>45366</v>
      </c>
      <c r="F76" t="s">
        <v>518</v>
      </c>
      <c r="G76">
        <v>9997.43</v>
      </c>
      <c r="H76">
        <v>458394.13</v>
      </c>
      <c r="I76">
        <v>8.67</v>
      </c>
      <c r="J76">
        <v>137994.21</v>
      </c>
      <c r="K76">
        <v>6</v>
      </c>
      <c r="L76">
        <v>38322.120000000003</v>
      </c>
      <c r="M76" t="s">
        <v>519</v>
      </c>
      <c r="N76">
        <v>18</v>
      </c>
    </row>
    <row r="77" spans="1:14" x14ac:dyDescent="0.3">
      <c r="A77">
        <v>100076</v>
      </c>
      <c r="B77">
        <v>7007905237</v>
      </c>
      <c r="C77" t="s">
        <v>89</v>
      </c>
      <c r="D77" t="s">
        <v>515</v>
      </c>
      <c r="E77" s="5">
        <v>45367</v>
      </c>
      <c r="F77" t="s">
        <v>518</v>
      </c>
      <c r="G77">
        <v>16506.89</v>
      </c>
      <c r="H77">
        <v>271184.14</v>
      </c>
      <c r="I77">
        <v>3.49</v>
      </c>
      <c r="J77">
        <v>760965.13</v>
      </c>
      <c r="K77">
        <v>19</v>
      </c>
      <c r="L77">
        <v>25847.040000000001</v>
      </c>
      <c r="M77" t="s">
        <v>522</v>
      </c>
      <c r="N77">
        <v>18</v>
      </c>
    </row>
    <row r="78" spans="1:14" x14ac:dyDescent="0.3">
      <c r="A78">
        <v>100077</v>
      </c>
      <c r="B78">
        <v>1647326920</v>
      </c>
      <c r="C78" t="s">
        <v>90</v>
      </c>
      <c r="D78" t="s">
        <v>516</v>
      </c>
      <c r="E78" s="5">
        <v>45368</v>
      </c>
      <c r="F78" t="s">
        <v>518</v>
      </c>
      <c r="G78">
        <v>11719.49</v>
      </c>
      <c r="H78">
        <v>87397.86</v>
      </c>
      <c r="I78">
        <v>9.74</v>
      </c>
      <c r="J78">
        <v>918821.23</v>
      </c>
      <c r="K78">
        <v>13</v>
      </c>
      <c r="L78">
        <v>32257.19</v>
      </c>
      <c r="M78" t="s">
        <v>523</v>
      </c>
      <c r="N78">
        <v>18</v>
      </c>
    </row>
    <row r="79" spans="1:14" x14ac:dyDescent="0.3">
      <c r="A79">
        <v>100078</v>
      </c>
      <c r="B79">
        <v>8283460559</v>
      </c>
      <c r="C79" t="s">
        <v>91</v>
      </c>
      <c r="D79" t="s">
        <v>516</v>
      </c>
      <c r="E79" s="5">
        <v>45369</v>
      </c>
      <c r="F79" t="s">
        <v>517</v>
      </c>
      <c r="G79">
        <v>18072.32</v>
      </c>
      <c r="H79">
        <v>350990.57</v>
      </c>
      <c r="I79">
        <v>5.86</v>
      </c>
      <c r="J79">
        <v>462319.92</v>
      </c>
      <c r="K79">
        <v>14</v>
      </c>
      <c r="L79">
        <v>49273.55</v>
      </c>
      <c r="M79" t="s">
        <v>522</v>
      </c>
      <c r="N79">
        <v>18</v>
      </c>
    </row>
    <row r="80" spans="1:14" x14ac:dyDescent="0.3">
      <c r="A80">
        <v>100079</v>
      </c>
      <c r="B80">
        <v>4686622978</v>
      </c>
      <c r="C80" t="s">
        <v>92</v>
      </c>
      <c r="D80" t="s">
        <v>516</v>
      </c>
      <c r="E80" s="5">
        <v>45370</v>
      </c>
      <c r="F80" t="s">
        <v>517</v>
      </c>
      <c r="G80">
        <v>3936.48</v>
      </c>
      <c r="H80">
        <v>398698.06</v>
      </c>
      <c r="I80">
        <v>3</v>
      </c>
      <c r="J80">
        <v>295776.06</v>
      </c>
      <c r="K80">
        <v>4</v>
      </c>
      <c r="L80">
        <v>38632.269999999997</v>
      </c>
      <c r="M80" t="s">
        <v>521</v>
      </c>
      <c r="N80">
        <v>18</v>
      </c>
    </row>
    <row r="81" spans="1:14" x14ac:dyDescent="0.3">
      <c r="A81">
        <v>100080</v>
      </c>
      <c r="B81">
        <v>2707558823</v>
      </c>
      <c r="C81" t="s">
        <v>93</v>
      </c>
      <c r="D81" t="s">
        <v>514</v>
      </c>
      <c r="E81" s="5">
        <v>45371</v>
      </c>
      <c r="F81" t="s">
        <v>517</v>
      </c>
      <c r="G81">
        <v>26193.46</v>
      </c>
      <c r="H81">
        <v>165213.22</v>
      </c>
      <c r="I81">
        <v>7.6</v>
      </c>
      <c r="J81">
        <v>462683.15</v>
      </c>
      <c r="K81">
        <v>7</v>
      </c>
      <c r="L81">
        <v>22283.71</v>
      </c>
      <c r="M81" t="s">
        <v>519</v>
      </c>
      <c r="N81">
        <v>18</v>
      </c>
    </row>
    <row r="82" spans="1:14" x14ac:dyDescent="0.3">
      <c r="A82">
        <v>100081</v>
      </c>
      <c r="B82">
        <v>8892904807</v>
      </c>
      <c r="C82" t="s">
        <v>94</v>
      </c>
      <c r="D82" t="s">
        <v>516</v>
      </c>
      <c r="E82" s="5">
        <v>45372</v>
      </c>
      <c r="F82" t="s">
        <v>517</v>
      </c>
      <c r="G82">
        <v>3846.82</v>
      </c>
      <c r="H82">
        <v>430017.84</v>
      </c>
      <c r="I82">
        <v>3.42</v>
      </c>
      <c r="J82">
        <v>737275.43</v>
      </c>
      <c r="K82">
        <v>8</v>
      </c>
      <c r="L82">
        <v>22875.65</v>
      </c>
      <c r="M82" t="s">
        <v>519</v>
      </c>
      <c r="N82">
        <v>18</v>
      </c>
    </row>
    <row r="83" spans="1:14" x14ac:dyDescent="0.3">
      <c r="A83">
        <v>100082</v>
      </c>
      <c r="B83">
        <v>3902066954</v>
      </c>
      <c r="C83" t="s">
        <v>95</v>
      </c>
      <c r="D83" t="s">
        <v>515</v>
      </c>
      <c r="E83" s="5">
        <v>45373</v>
      </c>
      <c r="F83" t="s">
        <v>518</v>
      </c>
      <c r="G83">
        <v>40117.65</v>
      </c>
      <c r="H83">
        <v>454010.19</v>
      </c>
      <c r="I83">
        <v>5.49</v>
      </c>
      <c r="J83">
        <v>58601.45</v>
      </c>
      <c r="K83">
        <v>13</v>
      </c>
      <c r="L83">
        <v>31319.83</v>
      </c>
      <c r="M83" t="s">
        <v>523</v>
      </c>
      <c r="N83">
        <v>18</v>
      </c>
    </row>
    <row r="84" spans="1:14" x14ac:dyDescent="0.3">
      <c r="A84">
        <v>100083</v>
      </c>
      <c r="B84">
        <v>1897955761</v>
      </c>
      <c r="C84" t="s">
        <v>96</v>
      </c>
      <c r="D84" t="s">
        <v>516</v>
      </c>
      <c r="E84" s="5">
        <v>45374</v>
      </c>
      <c r="F84" t="s">
        <v>518</v>
      </c>
      <c r="G84">
        <v>12068.75</v>
      </c>
      <c r="H84">
        <v>145683.20000000001</v>
      </c>
      <c r="I84">
        <v>9.36</v>
      </c>
      <c r="J84">
        <v>609981.29</v>
      </c>
      <c r="K84">
        <v>6</v>
      </c>
      <c r="L84">
        <v>33602.9</v>
      </c>
      <c r="M84" t="s">
        <v>519</v>
      </c>
      <c r="N84">
        <v>18</v>
      </c>
    </row>
    <row r="85" spans="1:14" x14ac:dyDescent="0.3">
      <c r="A85">
        <v>100084</v>
      </c>
      <c r="B85">
        <v>8283338537</v>
      </c>
      <c r="C85" t="s">
        <v>97</v>
      </c>
      <c r="D85" t="s">
        <v>515</v>
      </c>
      <c r="E85" s="5">
        <v>45375</v>
      </c>
      <c r="F85" t="s">
        <v>518</v>
      </c>
      <c r="G85">
        <v>27230.59</v>
      </c>
      <c r="H85">
        <v>491925.52</v>
      </c>
      <c r="I85">
        <v>3.56</v>
      </c>
      <c r="J85">
        <v>632627.1</v>
      </c>
      <c r="K85">
        <v>6</v>
      </c>
      <c r="L85">
        <v>25534.84</v>
      </c>
      <c r="M85" t="s">
        <v>523</v>
      </c>
      <c r="N85">
        <v>18</v>
      </c>
    </row>
    <row r="86" spans="1:14" x14ac:dyDescent="0.3">
      <c r="A86">
        <v>100085</v>
      </c>
      <c r="B86">
        <v>9513348207</v>
      </c>
      <c r="C86" t="s">
        <v>98</v>
      </c>
      <c r="D86" t="s">
        <v>514</v>
      </c>
      <c r="E86" s="5">
        <v>45376</v>
      </c>
      <c r="F86" t="s">
        <v>517</v>
      </c>
      <c r="G86">
        <v>44063.91</v>
      </c>
      <c r="H86">
        <v>78948.649999999994</v>
      </c>
      <c r="I86">
        <v>10.55</v>
      </c>
      <c r="J86">
        <v>655803.82999999996</v>
      </c>
      <c r="K86">
        <v>3</v>
      </c>
      <c r="L86">
        <v>32598.2</v>
      </c>
      <c r="M86" t="s">
        <v>523</v>
      </c>
      <c r="N86">
        <v>18</v>
      </c>
    </row>
    <row r="87" spans="1:14" x14ac:dyDescent="0.3">
      <c r="A87">
        <v>100086</v>
      </c>
      <c r="B87">
        <v>3218934259</v>
      </c>
      <c r="C87" t="s">
        <v>99</v>
      </c>
      <c r="D87" t="s">
        <v>515</v>
      </c>
      <c r="E87" s="5">
        <v>45377</v>
      </c>
      <c r="F87" t="s">
        <v>518</v>
      </c>
      <c r="G87">
        <v>32718.43</v>
      </c>
      <c r="H87">
        <v>108987.68</v>
      </c>
      <c r="I87">
        <v>3.03</v>
      </c>
      <c r="J87">
        <v>279920.98</v>
      </c>
      <c r="K87">
        <v>3</v>
      </c>
      <c r="L87">
        <v>2153.09</v>
      </c>
      <c r="M87" t="s">
        <v>522</v>
      </c>
      <c r="N87">
        <v>18</v>
      </c>
    </row>
    <row r="88" spans="1:14" x14ac:dyDescent="0.3">
      <c r="A88">
        <v>100087</v>
      </c>
      <c r="B88">
        <v>9573844352</v>
      </c>
      <c r="C88" t="s">
        <v>100</v>
      </c>
      <c r="D88" t="s">
        <v>515</v>
      </c>
      <c r="E88" s="5">
        <v>45378</v>
      </c>
      <c r="F88" t="s">
        <v>518</v>
      </c>
      <c r="G88">
        <v>26881.41</v>
      </c>
      <c r="H88">
        <v>100270.17</v>
      </c>
      <c r="I88">
        <v>5.22</v>
      </c>
      <c r="J88">
        <v>728350.09</v>
      </c>
      <c r="K88">
        <v>13</v>
      </c>
      <c r="L88">
        <v>22051.52</v>
      </c>
      <c r="M88" t="s">
        <v>519</v>
      </c>
      <c r="N88">
        <v>18</v>
      </c>
    </row>
    <row r="89" spans="1:14" x14ac:dyDescent="0.3">
      <c r="A89">
        <v>100088</v>
      </c>
      <c r="B89">
        <v>4790894239</v>
      </c>
      <c r="C89" t="s">
        <v>101</v>
      </c>
      <c r="D89" t="s">
        <v>516</v>
      </c>
      <c r="E89" s="5">
        <v>45379</v>
      </c>
      <c r="F89" t="s">
        <v>518</v>
      </c>
      <c r="G89">
        <v>16554.52</v>
      </c>
      <c r="H89">
        <v>448054.96</v>
      </c>
      <c r="I89">
        <v>9.67</v>
      </c>
      <c r="J89">
        <v>136821.91</v>
      </c>
      <c r="K89">
        <v>2</v>
      </c>
      <c r="L89">
        <v>14667.97</v>
      </c>
      <c r="M89" t="s">
        <v>523</v>
      </c>
      <c r="N89">
        <v>18</v>
      </c>
    </row>
    <row r="90" spans="1:14" x14ac:dyDescent="0.3">
      <c r="A90">
        <v>100089</v>
      </c>
      <c r="B90">
        <v>2197743336</v>
      </c>
      <c r="C90" t="s">
        <v>102</v>
      </c>
      <c r="D90" t="s">
        <v>516</v>
      </c>
      <c r="E90" s="5">
        <v>45380</v>
      </c>
      <c r="F90" t="s">
        <v>517</v>
      </c>
      <c r="G90">
        <v>16983.59</v>
      </c>
      <c r="H90">
        <v>330603.34999999998</v>
      </c>
      <c r="I90">
        <v>5.85</v>
      </c>
      <c r="J90">
        <v>239306.82</v>
      </c>
      <c r="K90">
        <v>16</v>
      </c>
      <c r="L90">
        <v>7329.55</v>
      </c>
      <c r="M90" t="s">
        <v>522</v>
      </c>
      <c r="N90">
        <v>18</v>
      </c>
    </row>
    <row r="91" spans="1:14" x14ac:dyDescent="0.3">
      <c r="A91">
        <v>100090</v>
      </c>
      <c r="B91">
        <v>8168249959</v>
      </c>
      <c r="C91" t="s">
        <v>103</v>
      </c>
      <c r="D91" t="s">
        <v>515</v>
      </c>
      <c r="E91" s="5">
        <v>45381</v>
      </c>
      <c r="F91" t="s">
        <v>518</v>
      </c>
      <c r="G91">
        <v>33639.599999999999</v>
      </c>
      <c r="H91">
        <v>84531.1</v>
      </c>
      <c r="I91">
        <v>3.92</v>
      </c>
      <c r="J91">
        <v>883596.54</v>
      </c>
      <c r="K91">
        <v>6</v>
      </c>
      <c r="L91">
        <v>5877.78</v>
      </c>
      <c r="M91" t="s">
        <v>520</v>
      </c>
      <c r="N91">
        <v>18</v>
      </c>
    </row>
    <row r="92" spans="1:14" x14ac:dyDescent="0.3">
      <c r="A92">
        <v>100091</v>
      </c>
      <c r="B92">
        <v>9332809688</v>
      </c>
      <c r="C92" t="s">
        <v>104</v>
      </c>
      <c r="D92" t="s">
        <v>516</v>
      </c>
      <c r="E92" s="5">
        <v>45382</v>
      </c>
      <c r="F92" t="s">
        <v>517</v>
      </c>
      <c r="G92">
        <v>49709.9</v>
      </c>
      <c r="H92">
        <v>225758.48</v>
      </c>
      <c r="I92">
        <v>6.24</v>
      </c>
      <c r="J92">
        <v>751786.99</v>
      </c>
      <c r="K92">
        <v>8</v>
      </c>
      <c r="L92">
        <v>30556.42</v>
      </c>
      <c r="M92" t="s">
        <v>522</v>
      </c>
      <c r="N92">
        <v>18</v>
      </c>
    </row>
    <row r="93" spans="1:14" x14ac:dyDescent="0.3">
      <c r="A93">
        <v>100092</v>
      </c>
      <c r="B93">
        <v>2219431313</v>
      </c>
      <c r="C93" t="s">
        <v>105</v>
      </c>
      <c r="D93" t="s">
        <v>514</v>
      </c>
      <c r="E93" s="5">
        <v>45383</v>
      </c>
      <c r="F93" t="s">
        <v>517</v>
      </c>
      <c r="G93">
        <v>33261.040000000001</v>
      </c>
      <c r="H93">
        <v>311496.03000000003</v>
      </c>
      <c r="I93">
        <v>5.43</v>
      </c>
      <c r="J93">
        <v>63058.28</v>
      </c>
      <c r="K93">
        <v>8</v>
      </c>
      <c r="L93">
        <v>26656.43</v>
      </c>
      <c r="M93" t="s">
        <v>522</v>
      </c>
      <c r="N93">
        <v>18</v>
      </c>
    </row>
    <row r="94" spans="1:14" x14ac:dyDescent="0.3">
      <c r="A94">
        <v>100093</v>
      </c>
      <c r="B94">
        <v>7380662465</v>
      </c>
      <c r="C94" t="s">
        <v>106</v>
      </c>
      <c r="D94" t="s">
        <v>514</v>
      </c>
      <c r="E94" s="5">
        <v>45384</v>
      </c>
      <c r="F94" t="s">
        <v>517</v>
      </c>
      <c r="G94">
        <v>28110.28</v>
      </c>
      <c r="H94">
        <v>50897.4</v>
      </c>
      <c r="I94">
        <v>10.58</v>
      </c>
      <c r="J94">
        <v>285957.45</v>
      </c>
      <c r="K94">
        <v>6</v>
      </c>
      <c r="L94">
        <v>13425.62</v>
      </c>
      <c r="M94" t="s">
        <v>523</v>
      </c>
      <c r="N94">
        <v>18</v>
      </c>
    </row>
    <row r="95" spans="1:14" x14ac:dyDescent="0.3">
      <c r="A95">
        <v>100094</v>
      </c>
      <c r="B95">
        <v>7220934306</v>
      </c>
      <c r="C95" t="s">
        <v>107</v>
      </c>
      <c r="D95" t="s">
        <v>516</v>
      </c>
      <c r="E95" s="5">
        <v>45385</v>
      </c>
      <c r="F95" t="s">
        <v>517</v>
      </c>
      <c r="G95">
        <v>36667.199999999997</v>
      </c>
      <c r="H95">
        <v>442384.02</v>
      </c>
      <c r="I95">
        <v>5.82</v>
      </c>
      <c r="J95">
        <v>253686.16</v>
      </c>
      <c r="K95">
        <v>14</v>
      </c>
      <c r="L95">
        <v>24076.55</v>
      </c>
      <c r="M95" t="s">
        <v>521</v>
      </c>
      <c r="N95">
        <v>18</v>
      </c>
    </row>
    <row r="96" spans="1:14" x14ac:dyDescent="0.3">
      <c r="A96">
        <v>100095</v>
      </c>
      <c r="B96">
        <v>1755593187</v>
      </c>
      <c r="C96" t="s">
        <v>108</v>
      </c>
      <c r="D96" t="s">
        <v>514</v>
      </c>
      <c r="E96" s="5">
        <v>45386</v>
      </c>
      <c r="F96" t="s">
        <v>518</v>
      </c>
      <c r="G96">
        <v>23527.68</v>
      </c>
      <c r="H96">
        <v>403765.73</v>
      </c>
      <c r="I96">
        <v>10.1</v>
      </c>
      <c r="J96">
        <v>307266.01</v>
      </c>
      <c r="K96">
        <v>3</v>
      </c>
      <c r="L96">
        <v>25119.38</v>
      </c>
      <c r="M96" t="s">
        <v>521</v>
      </c>
      <c r="N96">
        <v>18</v>
      </c>
    </row>
    <row r="97" spans="1:14" x14ac:dyDescent="0.3">
      <c r="A97">
        <v>100096</v>
      </c>
      <c r="B97">
        <v>1077633091</v>
      </c>
      <c r="C97" t="s">
        <v>109</v>
      </c>
      <c r="D97" t="s">
        <v>516</v>
      </c>
      <c r="E97" s="5">
        <v>45387</v>
      </c>
      <c r="F97" t="s">
        <v>517</v>
      </c>
      <c r="G97">
        <v>3477.05</v>
      </c>
      <c r="H97">
        <v>257551.32</v>
      </c>
      <c r="I97">
        <v>11.03</v>
      </c>
      <c r="J97">
        <v>285181.78000000003</v>
      </c>
      <c r="K97">
        <v>10</v>
      </c>
      <c r="L97">
        <v>10555.44</v>
      </c>
      <c r="M97" t="s">
        <v>521</v>
      </c>
      <c r="N97">
        <v>18</v>
      </c>
    </row>
    <row r="98" spans="1:14" x14ac:dyDescent="0.3">
      <c r="A98">
        <v>100097</v>
      </c>
      <c r="B98">
        <v>3121257357</v>
      </c>
      <c r="C98" t="s">
        <v>110</v>
      </c>
      <c r="D98" t="s">
        <v>515</v>
      </c>
      <c r="E98" s="5">
        <v>45388</v>
      </c>
      <c r="F98" t="s">
        <v>517</v>
      </c>
      <c r="G98">
        <v>28333.69</v>
      </c>
      <c r="H98">
        <v>483892.04</v>
      </c>
      <c r="I98">
        <v>6.9</v>
      </c>
      <c r="J98">
        <v>109399.98</v>
      </c>
      <c r="K98">
        <v>3</v>
      </c>
      <c r="L98">
        <v>32952.559999999998</v>
      </c>
      <c r="M98" t="s">
        <v>522</v>
      </c>
      <c r="N98">
        <v>18</v>
      </c>
    </row>
    <row r="99" spans="1:14" x14ac:dyDescent="0.3">
      <c r="A99">
        <v>100098</v>
      </c>
      <c r="B99">
        <v>1768037679</v>
      </c>
      <c r="C99" t="s">
        <v>111</v>
      </c>
      <c r="D99" t="s">
        <v>515</v>
      </c>
      <c r="E99" s="5">
        <v>45389</v>
      </c>
      <c r="F99" t="s">
        <v>518</v>
      </c>
      <c r="G99">
        <v>47902.45</v>
      </c>
      <c r="H99">
        <v>214702.88</v>
      </c>
      <c r="I99">
        <v>11.19</v>
      </c>
      <c r="J99">
        <v>485993.49</v>
      </c>
      <c r="K99">
        <v>12</v>
      </c>
      <c r="L99">
        <v>39265.050000000003</v>
      </c>
      <c r="M99" t="s">
        <v>523</v>
      </c>
      <c r="N99">
        <v>18</v>
      </c>
    </row>
    <row r="100" spans="1:14" x14ac:dyDescent="0.3">
      <c r="A100">
        <v>100099</v>
      </c>
      <c r="B100">
        <v>2323111039</v>
      </c>
      <c r="C100" t="s">
        <v>112</v>
      </c>
      <c r="D100" t="s">
        <v>514</v>
      </c>
      <c r="E100" s="5">
        <v>45390</v>
      </c>
      <c r="F100" t="s">
        <v>518</v>
      </c>
      <c r="G100">
        <v>9177.5</v>
      </c>
      <c r="H100">
        <v>492214.06</v>
      </c>
      <c r="I100">
        <v>6.4</v>
      </c>
      <c r="J100">
        <v>746096.8</v>
      </c>
      <c r="K100">
        <v>17</v>
      </c>
      <c r="L100">
        <v>39781.71</v>
      </c>
      <c r="M100" t="s">
        <v>519</v>
      </c>
      <c r="N100">
        <v>18</v>
      </c>
    </row>
    <row r="101" spans="1:14" x14ac:dyDescent="0.3">
      <c r="A101">
        <v>100100</v>
      </c>
      <c r="B101">
        <v>3330192559</v>
      </c>
      <c r="C101" t="s">
        <v>113</v>
      </c>
      <c r="D101" t="s">
        <v>516</v>
      </c>
      <c r="E101" s="5">
        <v>45391</v>
      </c>
      <c r="F101" t="s">
        <v>517</v>
      </c>
      <c r="G101">
        <v>34655.24</v>
      </c>
      <c r="H101">
        <v>337280.8</v>
      </c>
      <c r="I101">
        <v>11.68</v>
      </c>
      <c r="J101">
        <v>626395.14</v>
      </c>
      <c r="K101">
        <v>5</v>
      </c>
      <c r="L101">
        <v>30521.02</v>
      </c>
      <c r="M101" t="s">
        <v>522</v>
      </c>
      <c r="N101">
        <v>18</v>
      </c>
    </row>
    <row r="102" spans="1:14" x14ac:dyDescent="0.3">
      <c r="A102">
        <v>100101</v>
      </c>
      <c r="B102">
        <v>7828443293</v>
      </c>
      <c r="C102" t="s">
        <v>114</v>
      </c>
      <c r="D102" t="s">
        <v>516</v>
      </c>
      <c r="E102" s="5">
        <v>45392</v>
      </c>
      <c r="F102" t="s">
        <v>518</v>
      </c>
      <c r="G102">
        <v>10446.219999999999</v>
      </c>
      <c r="H102">
        <v>320988.92</v>
      </c>
      <c r="I102">
        <v>3.8</v>
      </c>
      <c r="J102">
        <v>689228.09</v>
      </c>
      <c r="K102">
        <v>9</v>
      </c>
      <c r="L102">
        <v>26070.29</v>
      </c>
      <c r="M102" t="s">
        <v>522</v>
      </c>
      <c r="N102">
        <v>18</v>
      </c>
    </row>
    <row r="103" spans="1:14" x14ac:dyDescent="0.3">
      <c r="A103">
        <v>100102</v>
      </c>
      <c r="B103">
        <v>9499280101</v>
      </c>
      <c r="C103" t="s">
        <v>115</v>
      </c>
      <c r="D103" t="s">
        <v>514</v>
      </c>
      <c r="E103" s="5">
        <v>45393</v>
      </c>
      <c r="F103" t="s">
        <v>517</v>
      </c>
      <c r="G103">
        <v>27023.47</v>
      </c>
      <c r="H103">
        <v>91317.9</v>
      </c>
      <c r="I103">
        <v>9.18</v>
      </c>
      <c r="J103">
        <v>127091.72</v>
      </c>
      <c r="K103">
        <v>7</v>
      </c>
      <c r="L103">
        <v>3989.35</v>
      </c>
      <c r="M103" t="s">
        <v>523</v>
      </c>
      <c r="N103">
        <v>18</v>
      </c>
    </row>
    <row r="104" spans="1:14" x14ac:dyDescent="0.3">
      <c r="A104">
        <v>100103</v>
      </c>
      <c r="B104">
        <v>3090541618</v>
      </c>
      <c r="C104" t="s">
        <v>116</v>
      </c>
      <c r="D104" t="s">
        <v>515</v>
      </c>
      <c r="E104" s="5">
        <v>45394</v>
      </c>
      <c r="F104" t="s">
        <v>517</v>
      </c>
      <c r="G104">
        <v>5285.48</v>
      </c>
      <c r="H104">
        <v>442144.6</v>
      </c>
      <c r="I104">
        <v>7.44</v>
      </c>
      <c r="J104">
        <v>953916.17</v>
      </c>
      <c r="K104">
        <v>4</v>
      </c>
      <c r="L104">
        <v>15103.73</v>
      </c>
      <c r="M104" t="s">
        <v>520</v>
      </c>
      <c r="N104">
        <v>18</v>
      </c>
    </row>
    <row r="105" spans="1:14" x14ac:dyDescent="0.3">
      <c r="A105">
        <v>100104</v>
      </c>
      <c r="B105">
        <v>9186631943</v>
      </c>
      <c r="C105" t="s">
        <v>117</v>
      </c>
      <c r="D105" t="s">
        <v>514</v>
      </c>
      <c r="E105" s="5">
        <v>45395</v>
      </c>
      <c r="F105" t="s">
        <v>517</v>
      </c>
      <c r="G105">
        <v>22793.360000000001</v>
      </c>
      <c r="H105">
        <v>219469.95</v>
      </c>
      <c r="I105">
        <v>6.49</v>
      </c>
      <c r="J105">
        <v>846567.24</v>
      </c>
      <c r="K105">
        <v>13</v>
      </c>
      <c r="L105">
        <v>5570.3</v>
      </c>
      <c r="M105" t="s">
        <v>522</v>
      </c>
      <c r="N105">
        <v>18</v>
      </c>
    </row>
    <row r="106" spans="1:14" x14ac:dyDescent="0.3">
      <c r="A106">
        <v>100105</v>
      </c>
      <c r="B106">
        <v>6798542612</v>
      </c>
      <c r="C106" t="s">
        <v>118</v>
      </c>
      <c r="D106" t="s">
        <v>515</v>
      </c>
      <c r="E106" s="5">
        <v>45396</v>
      </c>
      <c r="F106" t="s">
        <v>517</v>
      </c>
      <c r="G106">
        <v>37930.080000000002</v>
      </c>
      <c r="H106">
        <v>89494.37</v>
      </c>
      <c r="I106">
        <v>8.69</v>
      </c>
      <c r="J106">
        <v>814835.8</v>
      </c>
      <c r="K106">
        <v>13</v>
      </c>
      <c r="L106">
        <v>48227.33</v>
      </c>
      <c r="M106" t="s">
        <v>520</v>
      </c>
      <c r="N106">
        <v>18</v>
      </c>
    </row>
    <row r="107" spans="1:14" x14ac:dyDescent="0.3">
      <c r="A107">
        <v>100106</v>
      </c>
      <c r="B107">
        <v>8065665120</v>
      </c>
      <c r="C107" t="s">
        <v>119</v>
      </c>
      <c r="D107" t="s">
        <v>516</v>
      </c>
      <c r="E107" s="5">
        <v>45397</v>
      </c>
      <c r="F107" t="s">
        <v>518</v>
      </c>
      <c r="G107">
        <v>17704.79</v>
      </c>
      <c r="H107">
        <v>16177.68</v>
      </c>
      <c r="I107">
        <v>9.33</v>
      </c>
      <c r="J107">
        <v>831834.61</v>
      </c>
      <c r="K107">
        <v>10</v>
      </c>
      <c r="L107">
        <v>7618.93</v>
      </c>
      <c r="M107" t="s">
        <v>520</v>
      </c>
      <c r="N107">
        <v>18</v>
      </c>
    </row>
    <row r="108" spans="1:14" x14ac:dyDescent="0.3">
      <c r="A108">
        <v>100107</v>
      </c>
      <c r="B108">
        <v>1988638203</v>
      </c>
      <c r="C108" t="s">
        <v>120</v>
      </c>
      <c r="D108" t="s">
        <v>515</v>
      </c>
      <c r="E108" s="5">
        <v>45398</v>
      </c>
      <c r="F108" t="s">
        <v>517</v>
      </c>
      <c r="G108">
        <v>33413.129999999997</v>
      </c>
      <c r="H108">
        <v>284280.28000000003</v>
      </c>
      <c r="I108">
        <v>3.04</v>
      </c>
      <c r="J108">
        <v>936074.98</v>
      </c>
      <c r="K108">
        <v>18</v>
      </c>
      <c r="L108">
        <v>8437</v>
      </c>
      <c r="M108" t="s">
        <v>521</v>
      </c>
      <c r="N108">
        <v>18</v>
      </c>
    </row>
    <row r="109" spans="1:14" x14ac:dyDescent="0.3">
      <c r="A109">
        <v>100108</v>
      </c>
      <c r="B109">
        <v>3144019247</v>
      </c>
      <c r="C109" t="s">
        <v>121</v>
      </c>
      <c r="D109" t="s">
        <v>514</v>
      </c>
      <c r="E109" s="5">
        <v>45399</v>
      </c>
      <c r="F109" t="s">
        <v>518</v>
      </c>
      <c r="G109">
        <v>39874.769999999997</v>
      </c>
      <c r="H109">
        <v>268425.81</v>
      </c>
      <c r="I109">
        <v>4.5</v>
      </c>
      <c r="J109">
        <v>567041.27</v>
      </c>
      <c r="K109">
        <v>17</v>
      </c>
      <c r="L109">
        <v>44589.25</v>
      </c>
      <c r="M109" t="s">
        <v>523</v>
      </c>
      <c r="N109">
        <v>18</v>
      </c>
    </row>
    <row r="110" spans="1:14" x14ac:dyDescent="0.3">
      <c r="A110">
        <v>100109</v>
      </c>
      <c r="B110">
        <v>1187276799</v>
      </c>
      <c r="C110" t="s">
        <v>122</v>
      </c>
      <c r="D110" t="s">
        <v>516</v>
      </c>
      <c r="E110" s="5">
        <v>45400</v>
      </c>
      <c r="F110" t="s">
        <v>518</v>
      </c>
      <c r="G110">
        <v>46395.3</v>
      </c>
      <c r="H110">
        <v>362483.27</v>
      </c>
      <c r="I110">
        <v>9.42</v>
      </c>
      <c r="J110">
        <v>240267.92</v>
      </c>
      <c r="K110">
        <v>13</v>
      </c>
      <c r="L110">
        <v>47252.49</v>
      </c>
      <c r="M110" t="s">
        <v>520</v>
      </c>
      <c r="N110">
        <v>18</v>
      </c>
    </row>
    <row r="111" spans="1:14" x14ac:dyDescent="0.3">
      <c r="A111">
        <v>100110</v>
      </c>
      <c r="B111">
        <v>5271561899</v>
      </c>
      <c r="C111" t="s">
        <v>123</v>
      </c>
      <c r="D111" t="s">
        <v>514</v>
      </c>
      <c r="E111" s="5">
        <v>45401</v>
      </c>
      <c r="F111" t="s">
        <v>518</v>
      </c>
      <c r="G111">
        <v>12114.78</v>
      </c>
      <c r="H111">
        <v>446226.45</v>
      </c>
      <c r="I111">
        <v>9</v>
      </c>
      <c r="J111">
        <v>635944.43000000005</v>
      </c>
      <c r="K111">
        <v>17</v>
      </c>
      <c r="L111">
        <v>38525.620000000003</v>
      </c>
      <c r="M111" t="s">
        <v>523</v>
      </c>
      <c r="N111">
        <v>18</v>
      </c>
    </row>
    <row r="112" spans="1:14" x14ac:dyDescent="0.3">
      <c r="A112">
        <v>100111</v>
      </c>
      <c r="B112">
        <v>2200702509</v>
      </c>
      <c r="C112" t="s">
        <v>124</v>
      </c>
      <c r="D112" t="s">
        <v>514</v>
      </c>
      <c r="E112" s="5">
        <v>45402</v>
      </c>
      <c r="F112" t="s">
        <v>518</v>
      </c>
      <c r="G112">
        <v>20266.14</v>
      </c>
      <c r="H112">
        <v>48909.23</v>
      </c>
      <c r="I112">
        <v>11.69</v>
      </c>
      <c r="J112">
        <v>755737.42</v>
      </c>
      <c r="K112">
        <v>4</v>
      </c>
      <c r="L112">
        <v>1264.8399999999999</v>
      </c>
      <c r="M112" t="s">
        <v>521</v>
      </c>
      <c r="N112">
        <v>18</v>
      </c>
    </row>
    <row r="113" spans="1:14" x14ac:dyDescent="0.3">
      <c r="A113">
        <v>100112</v>
      </c>
      <c r="B113">
        <v>4794577925</v>
      </c>
      <c r="C113" t="s">
        <v>125</v>
      </c>
      <c r="D113" t="s">
        <v>515</v>
      </c>
      <c r="E113" s="5">
        <v>45403</v>
      </c>
      <c r="F113" t="s">
        <v>517</v>
      </c>
      <c r="G113">
        <v>8044.59</v>
      </c>
      <c r="H113">
        <v>368433.28</v>
      </c>
      <c r="I113">
        <v>9.85</v>
      </c>
      <c r="J113">
        <v>751021.52</v>
      </c>
      <c r="K113">
        <v>1</v>
      </c>
      <c r="L113">
        <v>1065.97</v>
      </c>
      <c r="M113" t="s">
        <v>523</v>
      </c>
      <c r="N113">
        <v>18</v>
      </c>
    </row>
    <row r="114" spans="1:14" x14ac:dyDescent="0.3">
      <c r="A114">
        <v>100113</v>
      </c>
      <c r="B114">
        <v>5093412388</v>
      </c>
      <c r="C114" t="s">
        <v>126</v>
      </c>
      <c r="D114" t="s">
        <v>514</v>
      </c>
      <c r="E114" s="5">
        <v>45404</v>
      </c>
      <c r="F114" t="s">
        <v>518</v>
      </c>
      <c r="G114">
        <v>49627.93</v>
      </c>
      <c r="H114">
        <v>101831.85</v>
      </c>
      <c r="I114">
        <v>11.56</v>
      </c>
      <c r="J114">
        <v>545376.56999999995</v>
      </c>
      <c r="K114">
        <v>1</v>
      </c>
      <c r="L114">
        <v>19526.939999999999</v>
      </c>
      <c r="M114" t="s">
        <v>522</v>
      </c>
      <c r="N114">
        <v>18</v>
      </c>
    </row>
    <row r="115" spans="1:14" x14ac:dyDescent="0.3">
      <c r="A115">
        <v>100114</v>
      </c>
      <c r="B115">
        <v>3374107437</v>
      </c>
      <c r="C115" t="s">
        <v>127</v>
      </c>
      <c r="D115" t="s">
        <v>515</v>
      </c>
      <c r="E115" s="5">
        <v>45405</v>
      </c>
      <c r="F115" t="s">
        <v>517</v>
      </c>
      <c r="G115">
        <v>46386.55</v>
      </c>
      <c r="H115">
        <v>430506.76</v>
      </c>
      <c r="I115">
        <v>9.32</v>
      </c>
      <c r="J115">
        <v>115035.78</v>
      </c>
      <c r="K115">
        <v>15</v>
      </c>
      <c r="L115">
        <v>8026.37</v>
      </c>
      <c r="M115" t="s">
        <v>520</v>
      </c>
      <c r="N115">
        <v>18</v>
      </c>
    </row>
    <row r="116" spans="1:14" x14ac:dyDescent="0.3">
      <c r="A116">
        <v>100115</v>
      </c>
      <c r="B116">
        <v>3457977438</v>
      </c>
      <c r="C116" t="s">
        <v>128</v>
      </c>
      <c r="D116" t="s">
        <v>516</v>
      </c>
      <c r="E116" s="5">
        <v>45406</v>
      </c>
      <c r="F116" t="s">
        <v>518</v>
      </c>
      <c r="G116">
        <v>27227.88</v>
      </c>
      <c r="H116">
        <v>411341.12</v>
      </c>
      <c r="I116">
        <v>5.68</v>
      </c>
      <c r="J116">
        <v>402557.29</v>
      </c>
      <c r="K116">
        <v>13</v>
      </c>
      <c r="L116">
        <v>1900.92</v>
      </c>
      <c r="M116" t="s">
        <v>523</v>
      </c>
      <c r="N116">
        <v>18</v>
      </c>
    </row>
    <row r="117" spans="1:14" x14ac:dyDescent="0.3">
      <c r="A117">
        <v>100116</v>
      </c>
      <c r="B117">
        <v>1323609715</v>
      </c>
      <c r="C117" t="s">
        <v>129</v>
      </c>
      <c r="D117" t="s">
        <v>515</v>
      </c>
      <c r="E117" s="5">
        <v>45407</v>
      </c>
      <c r="F117" t="s">
        <v>518</v>
      </c>
      <c r="G117">
        <v>42180.65</v>
      </c>
      <c r="H117">
        <v>274988.94</v>
      </c>
      <c r="I117">
        <v>3.95</v>
      </c>
      <c r="J117">
        <v>924728.28</v>
      </c>
      <c r="K117">
        <v>17</v>
      </c>
      <c r="L117">
        <v>23739.27</v>
      </c>
      <c r="M117" t="s">
        <v>519</v>
      </c>
      <c r="N117">
        <v>18</v>
      </c>
    </row>
    <row r="118" spans="1:14" x14ac:dyDescent="0.3">
      <c r="A118">
        <v>100117</v>
      </c>
      <c r="B118">
        <v>1819956639</v>
      </c>
      <c r="C118" t="s">
        <v>130</v>
      </c>
      <c r="D118" t="s">
        <v>516</v>
      </c>
      <c r="E118" s="5">
        <v>45408</v>
      </c>
      <c r="F118" t="s">
        <v>517</v>
      </c>
      <c r="G118">
        <v>26287.42</v>
      </c>
      <c r="H118">
        <v>358018.97</v>
      </c>
      <c r="I118">
        <v>10.039999999999999</v>
      </c>
      <c r="J118">
        <v>605226.46</v>
      </c>
      <c r="K118">
        <v>8</v>
      </c>
      <c r="L118">
        <v>47210.03</v>
      </c>
      <c r="M118" t="s">
        <v>523</v>
      </c>
      <c r="N118">
        <v>18</v>
      </c>
    </row>
    <row r="119" spans="1:14" x14ac:dyDescent="0.3">
      <c r="A119">
        <v>100118</v>
      </c>
      <c r="B119">
        <v>2695186921</v>
      </c>
      <c r="C119" t="s">
        <v>131</v>
      </c>
      <c r="D119" t="s">
        <v>515</v>
      </c>
      <c r="E119" s="5">
        <v>45409</v>
      </c>
      <c r="F119" t="s">
        <v>517</v>
      </c>
      <c r="G119">
        <v>31367.49</v>
      </c>
      <c r="H119">
        <v>164031.56</v>
      </c>
      <c r="I119">
        <v>8.8000000000000007</v>
      </c>
      <c r="J119">
        <v>561415.35</v>
      </c>
      <c r="K119">
        <v>18</v>
      </c>
      <c r="L119">
        <v>16867.16</v>
      </c>
      <c r="M119" t="s">
        <v>520</v>
      </c>
      <c r="N119">
        <v>18</v>
      </c>
    </row>
    <row r="120" spans="1:14" x14ac:dyDescent="0.3">
      <c r="A120">
        <v>100119</v>
      </c>
      <c r="B120">
        <v>9289359170</v>
      </c>
      <c r="C120" t="s">
        <v>132</v>
      </c>
      <c r="D120" t="s">
        <v>514</v>
      </c>
      <c r="E120" s="5">
        <v>45410</v>
      </c>
      <c r="F120" t="s">
        <v>517</v>
      </c>
      <c r="G120">
        <v>4911.66</v>
      </c>
      <c r="H120">
        <v>240872.27</v>
      </c>
      <c r="I120">
        <v>3.43</v>
      </c>
      <c r="J120">
        <v>305410.84000000003</v>
      </c>
      <c r="K120">
        <v>13</v>
      </c>
      <c r="L120">
        <v>33395.89</v>
      </c>
      <c r="M120" t="s">
        <v>521</v>
      </c>
      <c r="N120">
        <v>18</v>
      </c>
    </row>
    <row r="121" spans="1:14" x14ac:dyDescent="0.3">
      <c r="A121">
        <v>100120</v>
      </c>
      <c r="B121">
        <v>6835343510</v>
      </c>
      <c r="C121" t="s">
        <v>133</v>
      </c>
      <c r="D121" t="s">
        <v>515</v>
      </c>
      <c r="E121" s="5">
        <v>45411</v>
      </c>
      <c r="F121" t="s">
        <v>518</v>
      </c>
      <c r="G121">
        <v>37885.89</v>
      </c>
      <c r="H121">
        <v>412602.08</v>
      </c>
      <c r="I121">
        <v>6.24</v>
      </c>
      <c r="J121">
        <v>400026.47</v>
      </c>
      <c r="K121">
        <v>14</v>
      </c>
      <c r="L121">
        <v>32959.53</v>
      </c>
      <c r="M121" t="s">
        <v>521</v>
      </c>
      <c r="N121">
        <v>18</v>
      </c>
    </row>
    <row r="122" spans="1:14" x14ac:dyDescent="0.3">
      <c r="A122">
        <v>100121</v>
      </c>
      <c r="B122">
        <v>6386591870</v>
      </c>
      <c r="C122" t="s">
        <v>134</v>
      </c>
      <c r="D122" t="s">
        <v>515</v>
      </c>
      <c r="E122" s="5">
        <v>45412</v>
      </c>
      <c r="F122" t="s">
        <v>518</v>
      </c>
      <c r="G122">
        <v>6821.82</v>
      </c>
      <c r="H122">
        <v>235039.95</v>
      </c>
      <c r="I122">
        <v>11.61</v>
      </c>
      <c r="J122">
        <v>900578.78</v>
      </c>
      <c r="K122">
        <v>8</v>
      </c>
      <c r="L122">
        <v>13302.93</v>
      </c>
      <c r="M122" t="s">
        <v>520</v>
      </c>
      <c r="N122">
        <v>18</v>
      </c>
    </row>
    <row r="123" spans="1:14" x14ac:dyDescent="0.3">
      <c r="A123">
        <v>100122</v>
      </c>
      <c r="B123">
        <v>6680312281</v>
      </c>
      <c r="C123" t="s">
        <v>135</v>
      </c>
      <c r="D123" t="s">
        <v>516</v>
      </c>
      <c r="E123" s="5">
        <v>45413</v>
      </c>
      <c r="F123" t="s">
        <v>517</v>
      </c>
      <c r="G123">
        <v>41390.35</v>
      </c>
      <c r="H123">
        <v>185321.15</v>
      </c>
      <c r="I123">
        <v>7.5</v>
      </c>
      <c r="J123">
        <v>683139.9</v>
      </c>
      <c r="K123">
        <v>8</v>
      </c>
      <c r="L123">
        <v>32870.839999999997</v>
      </c>
      <c r="M123" t="s">
        <v>522</v>
      </c>
      <c r="N123">
        <v>18</v>
      </c>
    </row>
    <row r="124" spans="1:14" x14ac:dyDescent="0.3">
      <c r="A124">
        <v>100123</v>
      </c>
      <c r="B124">
        <v>4645008999</v>
      </c>
      <c r="C124" t="s">
        <v>136</v>
      </c>
      <c r="D124" t="s">
        <v>514</v>
      </c>
      <c r="E124" s="5">
        <v>45414</v>
      </c>
      <c r="F124" t="s">
        <v>517</v>
      </c>
      <c r="G124">
        <v>39210.39</v>
      </c>
      <c r="H124">
        <v>252164.1</v>
      </c>
      <c r="I124">
        <v>6.89</v>
      </c>
      <c r="J124">
        <v>798017.68</v>
      </c>
      <c r="K124">
        <v>15</v>
      </c>
      <c r="L124">
        <v>11404.36</v>
      </c>
      <c r="M124" t="s">
        <v>522</v>
      </c>
      <c r="N124">
        <v>18</v>
      </c>
    </row>
    <row r="125" spans="1:14" x14ac:dyDescent="0.3">
      <c r="A125">
        <v>100124</v>
      </c>
      <c r="B125">
        <v>1586784136</v>
      </c>
      <c r="C125" t="s">
        <v>137</v>
      </c>
      <c r="D125" t="s">
        <v>515</v>
      </c>
      <c r="E125" s="5">
        <v>45415</v>
      </c>
      <c r="F125" t="s">
        <v>517</v>
      </c>
      <c r="G125">
        <v>35582.86</v>
      </c>
      <c r="H125">
        <v>415842.13</v>
      </c>
      <c r="I125">
        <v>7.12</v>
      </c>
      <c r="J125">
        <v>481628.15</v>
      </c>
      <c r="K125">
        <v>13</v>
      </c>
      <c r="L125">
        <v>6978.36</v>
      </c>
      <c r="M125" t="s">
        <v>521</v>
      </c>
      <c r="N125">
        <v>18</v>
      </c>
    </row>
    <row r="126" spans="1:14" x14ac:dyDescent="0.3">
      <c r="A126">
        <v>100125</v>
      </c>
      <c r="B126">
        <v>2273501353</v>
      </c>
      <c r="C126" t="s">
        <v>138</v>
      </c>
      <c r="D126" t="s">
        <v>514</v>
      </c>
      <c r="E126" s="5">
        <v>45416</v>
      </c>
      <c r="F126" t="s">
        <v>517</v>
      </c>
      <c r="G126">
        <v>2289.94</v>
      </c>
      <c r="H126">
        <v>174251.94</v>
      </c>
      <c r="I126">
        <v>4.88</v>
      </c>
      <c r="J126">
        <v>648734.86</v>
      </c>
      <c r="K126">
        <v>7</v>
      </c>
      <c r="L126">
        <v>35367.78</v>
      </c>
      <c r="M126" t="s">
        <v>521</v>
      </c>
      <c r="N126">
        <v>18</v>
      </c>
    </row>
    <row r="127" spans="1:14" x14ac:dyDescent="0.3">
      <c r="A127">
        <v>100126</v>
      </c>
      <c r="B127">
        <v>3626431383</v>
      </c>
      <c r="C127" t="s">
        <v>139</v>
      </c>
      <c r="D127" t="s">
        <v>515</v>
      </c>
      <c r="E127" s="5">
        <v>45417</v>
      </c>
      <c r="F127" t="s">
        <v>518</v>
      </c>
      <c r="G127">
        <v>15504.85</v>
      </c>
      <c r="H127">
        <v>95143.18</v>
      </c>
      <c r="I127">
        <v>6.32</v>
      </c>
      <c r="J127">
        <v>285964.43</v>
      </c>
      <c r="K127">
        <v>5</v>
      </c>
      <c r="L127">
        <v>6558.6</v>
      </c>
      <c r="M127" t="s">
        <v>520</v>
      </c>
      <c r="N127">
        <v>18</v>
      </c>
    </row>
    <row r="128" spans="1:14" x14ac:dyDescent="0.3">
      <c r="A128">
        <v>100127</v>
      </c>
      <c r="B128">
        <v>1350444347</v>
      </c>
      <c r="C128" t="s">
        <v>140</v>
      </c>
      <c r="D128" t="s">
        <v>515</v>
      </c>
      <c r="E128" s="5">
        <v>45418</v>
      </c>
      <c r="F128" t="s">
        <v>517</v>
      </c>
      <c r="G128">
        <v>13524.07</v>
      </c>
      <c r="H128">
        <v>358886.87</v>
      </c>
      <c r="I128">
        <v>6.33</v>
      </c>
      <c r="J128">
        <v>720187.79</v>
      </c>
      <c r="K128">
        <v>17</v>
      </c>
      <c r="L128">
        <v>49848.55</v>
      </c>
      <c r="M128" t="s">
        <v>522</v>
      </c>
      <c r="N128">
        <v>18</v>
      </c>
    </row>
    <row r="129" spans="1:14" x14ac:dyDescent="0.3">
      <c r="A129">
        <v>100128</v>
      </c>
      <c r="B129">
        <v>5317236102</v>
      </c>
      <c r="C129" t="s">
        <v>141</v>
      </c>
      <c r="D129" t="s">
        <v>514</v>
      </c>
      <c r="E129" s="5">
        <v>45419</v>
      </c>
      <c r="F129" t="s">
        <v>517</v>
      </c>
      <c r="G129">
        <v>18326.75</v>
      </c>
      <c r="H129">
        <v>414729.32</v>
      </c>
      <c r="I129">
        <v>3.47</v>
      </c>
      <c r="J129">
        <v>456221.27</v>
      </c>
      <c r="K129">
        <v>16</v>
      </c>
      <c r="L129">
        <v>9989.17</v>
      </c>
      <c r="M129" t="s">
        <v>521</v>
      </c>
      <c r="N129">
        <v>18</v>
      </c>
    </row>
    <row r="130" spans="1:14" x14ac:dyDescent="0.3">
      <c r="A130">
        <v>100129</v>
      </c>
      <c r="B130">
        <v>3696785955</v>
      </c>
      <c r="C130" t="s">
        <v>142</v>
      </c>
      <c r="D130" t="s">
        <v>515</v>
      </c>
      <c r="E130" s="5">
        <v>45420</v>
      </c>
      <c r="F130" t="s">
        <v>517</v>
      </c>
      <c r="G130">
        <v>4838.32</v>
      </c>
      <c r="H130">
        <v>59312.36</v>
      </c>
      <c r="I130">
        <v>9.91</v>
      </c>
      <c r="J130">
        <v>470418.24</v>
      </c>
      <c r="K130">
        <v>2</v>
      </c>
      <c r="L130">
        <v>30112.95</v>
      </c>
      <c r="M130" t="s">
        <v>522</v>
      </c>
      <c r="N130">
        <v>18</v>
      </c>
    </row>
    <row r="131" spans="1:14" x14ac:dyDescent="0.3">
      <c r="A131">
        <v>100130</v>
      </c>
      <c r="B131">
        <v>1834400275</v>
      </c>
      <c r="C131" t="s">
        <v>143</v>
      </c>
      <c r="D131" t="s">
        <v>514</v>
      </c>
      <c r="E131" s="5">
        <v>45421</v>
      </c>
      <c r="F131" t="s">
        <v>517</v>
      </c>
      <c r="G131">
        <v>46879.41</v>
      </c>
      <c r="H131">
        <v>127538.32</v>
      </c>
      <c r="I131">
        <v>6.75</v>
      </c>
      <c r="J131">
        <v>666856.21</v>
      </c>
      <c r="K131">
        <v>18</v>
      </c>
      <c r="L131">
        <v>21157.35</v>
      </c>
      <c r="M131" t="s">
        <v>521</v>
      </c>
      <c r="N131">
        <v>18</v>
      </c>
    </row>
    <row r="132" spans="1:14" x14ac:dyDescent="0.3">
      <c r="A132">
        <v>100131</v>
      </c>
      <c r="B132">
        <v>1304688903</v>
      </c>
      <c r="C132" t="s">
        <v>144</v>
      </c>
      <c r="D132" t="s">
        <v>515</v>
      </c>
      <c r="E132" s="5">
        <v>45422</v>
      </c>
      <c r="F132" t="s">
        <v>518</v>
      </c>
      <c r="G132">
        <v>27913.21</v>
      </c>
      <c r="H132">
        <v>79566.27</v>
      </c>
      <c r="I132">
        <v>10.4</v>
      </c>
      <c r="J132">
        <v>939466.59</v>
      </c>
      <c r="K132">
        <v>17</v>
      </c>
      <c r="L132">
        <v>7192.93</v>
      </c>
      <c r="M132" t="s">
        <v>523</v>
      </c>
      <c r="N132">
        <v>18</v>
      </c>
    </row>
    <row r="133" spans="1:14" x14ac:dyDescent="0.3">
      <c r="A133">
        <v>100132</v>
      </c>
      <c r="B133">
        <v>9708547726</v>
      </c>
      <c r="C133" t="s">
        <v>145</v>
      </c>
      <c r="D133" t="s">
        <v>516</v>
      </c>
      <c r="E133" s="5">
        <v>45423</v>
      </c>
      <c r="F133" t="s">
        <v>517</v>
      </c>
      <c r="G133">
        <v>15623.45</v>
      </c>
      <c r="H133">
        <v>180491.29</v>
      </c>
      <c r="I133">
        <v>10.65</v>
      </c>
      <c r="J133">
        <v>110806.03</v>
      </c>
      <c r="K133">
        <v>7</v>
      </c>
      <c r="L133">
        <v>2364.35</v>
      </c>
      <c r="M133" t="s">
        <v>519</v>
      </c>
      <c r="N133">
        <v>18</v>
      </c>
    </row>
    <row r="134" spans="1:14" x14ac:dyDescent="0.3">
      <c r="A134">
        <v>100133</v>
      </c>
      <c r="B134">
        <v>7178199327</v>
      </c>
      <c r="C134" t="s">
        <v>146</v>
      </c>
      <c r="D134" t="s">
        <v>514</v>
      </c>
      <c r="E134" s="5">
        <v>45424</v>
      </c>
      <c r="F134" t="s">
        <v>518</v>
      </c>
      <c r="G134">
        <v>20150.59</v>
      </c>
      <c r="H134">
        <v>230671.98</v>
      </c>
      <c r="I134">
        <v>4.91</v>
      </c>
      <c r="J134">
        <v>833506.08</v>
      </c>
      <c r="K134">
        <v>13</v>
      </c>
      <c r="L134">
        <v>31513.88</v>
      </c>
      <c r="M134" t="s">
        <v>523</v>
      </c>
      <c r="N134">
        <v>18</v>
      </c>
    </row>
    <row r="135" spans="1:14" x14ac:dyDescent="0.3">
      <c r="A135">
        <v>100134</v>
      </c>
      <c r="B135">
        <v>6704372274</v>
      </c>
      <c r="C135" t="s">
        <v>147</v>
      </c>
      <c r="D135" t="s">
        <v>515</v>
      </c>
      <c r="E135" s="5">
        <v>45425</v>
      </c>
      <c r="F135" t="s">
        <v>517</v>
      </c>
      <c r="G135">
        <v>22636.53</v>
      </c>
      <c r="H135">
        <v>376924.91</v>
      </c>
      <c r="I135">
        <v>8.92</v>
      </c>
      <c r="J135">
        <v>327763.95</v>
      </c>
      <c r="K135">
        <v>18</v>
      </c>
      <c r="L135">
        <v>40531.120000000003</v>
      </c>
      <c r="M135" t="s">
        <v>521</v>
      </c>
      <c r="N135">
        <v>18</v>
      </c>
    </row>
    <row r="136" spans="1:14" x14ac:dyDescent="0.3">
      <c r="A136">
        <v>100135</v>
      </c>
      <c r="B136">
        <v>1665898681</v>
      </c>
      <c r="C136" t="s">
        <v>148</v>
      </c>
      <c r="D136" t="s">
        <v>515</v>
      </c>
      <c r="E136" s="5">
        <v>45426</v>
      </c>
      <c r="F136" t="s">
        <v>517</v>
      </c>
      <c r="G136">
        <v>30229.42</v>
      </c>
      <c r="H136">
        <v>329062.32</v>
      </c>
      <c r="I136">
        <v>7.25</v>
      </c>
      <c r="J136">
        <v>471723.48</v>
      </c>
      <c r="K136">
        <v>14</v>
      </c>
      <c r="L136">
        <v>42258.77</v>
      </c>
      <c r="M136" t="s">
        <v>519</v>
      </c>
      <c r="N136">
        <v>18</v>
      </c>
    </row>
    <row r="137" spans="1:14" x14ac:dyDescent="0.3">
      <c r="A137">
        <v>100136</v>
      </c>
      <c r="B137">
        <v>4603191957</v>
      </c>
      <c r="C137" t="s">
        <v>149</v>
      </c>
      <c r="D137" t="s">
        <v>516</v>
      </c>
      <c r="E137" s="5">
        <v>45427</v>
      </c>
      <c r="F137" t="s">
        <v>518</v>
      </c>
      <c r="G137">
        <v>26026.13</v>
      </c>
      <c r="H137">
        <v>314255</v>
      </c>
      <c r="I137">
        <v>10.92</v>
      </c>
      <c r="J137">
        <v>70817.66</v>
      </c>
      <c r="K137">
        <v>18</v>
      </c>
      <c r="L137">
        <v>24652.959999999999</v>
      </c>
      <c r="M137" t="s">
        <v>519</v>
      </c>
      <c r="N137">
        <v>18</v>
      </c>
    </row>
    <row r="138" spans="1:14" x14ac:dyDescent="0.3">
      <c r="A138">
        <v>100137</v>
      </c>
      <c r="B138">
        <v>8990377017</v>
      </c>
      <c r="C138" t="s">
        <v>150</v>
      </c>
      <c r="D138" t="s">
        <v>514</v>
      </c>
      <c r="E138" s="5">
        <v>45428</v>
      </c>
      <c r="F138" t="s">
        <v>517</v>
      </c>
      <c r="G138">
        <v>46009.9</v>
      </c>
      <c r="H138">
        <v>182663.72</v>
      </c>
      <c r="I138">
        <v>4.9400000000000004</v>
      </c>
      <c r="J138">
        <v>335993.77</v>
      </c>
      <c r="K138">
        <v>13</v>
      </c>
      <c r="L138">
        <v>39095.32</v>
      </c>
      <c r="M138" t="s">
        <v>521</v>
      </c>
      <c r="N138">
        <v>18</v>
      </c>
    </row>
    <row r="139" spans="1:14" x14ac:dyDescent="0.3">
      <c r="A139">
        <v>100138</v>
      </c>
      <c r="B139">
        <v>6369788720</v>
      </c>
      <c r="C139" t="s">
        <v>151</v>
      </c>
      <c r="D139" t="s">
        <v>515</v>
      </c>
      <c r="E139" s="5">
        <v>45429</v>
      </c>
      <c r="F139" t="s">
        <v>518</v>
      </c>
      <c r="G139">
        <v>25099.69</v>
      </c>
      <c r="H139">
        <v>422309.3</v>
      </c>
      <c r="I139">
        <v>9.1</v>
      </c>
      <c r="J139">
        <v>527499.68000000005</v>
      </c>
      <c r="K139">
        <v>11</v>
      </c>
      <c r="L139">
        <v>33969.51</v>
      </c>
      <c r="M139" t="s">
        <v>521</v>
      </c>
      <c r="N139">
        <v>18</v>
      </c>
    </row>
    <row r="140" spans="1:14" x14ac:dyDescent="0.3">
      <c r="A140">
        <v>100139</v>
      </c>
      <c r="B140">
        <v>6597482766</v>
      </c>
      <c r="C140" t="s">
        <v>152</v>
      </c>
      <c r="D140" t="s">
        <v>516</v>
      </c>
      <c r="E140" s="5">
        <v>45430</v>
      </c>
      <c r="F140" t="s">
        <v>518</v>
      </c>
      <c r="G140">
        <v>49611.82</v>
      </c>
      <c r="H140">
        <v>240930.71</v>
      </c>
      <c r="I140">
        <v>8.4700000000000006</v>
      </c>
      <c r="J140">
        <v>103367.27</v>
      </c>
      <c r="K140">
        <v>16</v>
      </c>
      <c r="L140">
        <v>36488.47</v>
      </c>
      <c r="M140" t="s">
        <v>522</v>
      </c>
      <c r="N140">
        <v>18</v>
      </c>
    </row>
    <row r="141" spans="1:14" x14ac:dyDescent="0.3">
      <c r="A141">
        <v>100140</v>
      </c>
      <c r="B141">
        <v>7601718762</v>
      </c>
      <c r="C141" t="s">
        <v>153</v>
      </c>
      <c r="D141" t="s">
        <v>515</v>
      </c>
      <c r="E141" s="5">
        <v>45431</v>
      </c>
      <c r="F141" t="s">
        <v>517</v>
      </c>
      <c r="G141">
        <v>42645.54</v>
      </c>
      <c r="H141">
        <v>489761.42</v>
      </c>
      <c r="I141">
        <v>5.66</v>
      </c>
      <c r="J141">
        <v>516540.94</v>
      </c>
      <c r="K141">
        <v>17</v>
      </c>
      <c r="L141">
        <v>25137.35</v>
      </c>
      <c r="M141" t="s">
        <v>521</v>
      </c>
      <c r="N141">
        <v>18</v>
      </c>
    </row>
    <row r="142" spans="1:14" x14ac:dyDescent="0.3">
      <c r="A142">
        <v>100141</v>
      </c>
      <c r="B142">
        <v>4555670279</v>
      </c>
      <c r="C142" t="s">
        <v>154</v>
      </c>
      <c r="D142" t="s">
        <v>514</v>
      </c>
      <c r="E142" s="5">
        <v>45432</v>
      </c>
      <c r="F142" t="s">
        <v>518</v>
      </c>
      <c r="G142">
        <v>10821.27</v>
      </c>
      <c r="H142">
        <v>320729.65000000002</v>
      </c>
      <c r="I142">
        <v>4.2300000000000004</v>
      </c>
      <c r="J142">
        <v>930755.1</v>
      </c>
      <c r="K142">
        <v>8</v>
      </c>
      <c r="L142">
        <v>32037.18</v>
      </c>
      <c r="M142" t="s">
        <v>520</v>
      </c>
      <c r="N142">
        <v>18</v>
      </c>
    </row>
    <row r="143" spans="1:14" x14ac:dyDescent="0.3">
      <c r="A143">
        <v>100142</v>
      </c>
      <c r="B143">
        <v>2166267963</v>
      </c>
      <c r="C143" t="s">
        <v>155</v>
      </c>
      <c r="D143" t="s">
        <v>515</v>
      </c>
      <c r="E143" s="5">
        <v>45433</v>
      </c>
      <c r="F143" t="s">
        <v>518</v>
      </c>
      <c r="G143">
        <v>46564.46</v>
      </c>
      <c r="H143">
        <v>71869.72</v>
      </c>
      <c r="I143">
        <v>8.86</v>
      </c>
      <c r="J143">
        <v>150123.56</v>
      </c>
      <c r="K143">
        <v>19</v>
      </c>
      <c r="L143">
        <v>40470.769999999997</v>
      </c>
      <c r="M143" t="s">
        <v>521</v>
      </c>
      <c r="N143">
        <v>18</v>
      </c>
    </row>
    <row r="144" spans="1:14" x14ac:dyDescent="0.3">
      <c r="A144">
        <v>100143</v>
      </c>
      <c r="B144">
        <v>2963938918</v>
      </c>
      <c r="C144" t="s">
        <v>156</v>
      </c>
      <c r="D144" t="s">
        <v>515</v>
      </c>
      <c r="E144" s="5">
        <v>45434</v>
      </c>
      <c r="F144" t="s">
        <v>518</v>
      </c>
      <c r="G144">
        <v>6260.14</v>
      </c>
      <c r="H144">
        <v>341327.01</v>
      </c>
      <c r="I144">
        <v>9.65</v>
      </c>
      <c r="J144">
        <v>776218.69</v>
      </c>
      <c r="K144">
        <v>15</v>
      </c>
      <c r="L144">
        <v>20496.32</v>
      </c>
      <c r="M144" t="s">
        <v>520</v>
      </c>
      <c r="N144">
        <v>18</v>
      </c>
    </row>
    <row r="145" spans="1:14" x14ac:dyDescent="0.3">
      <c r="A145">
        <v>100144</v>
      </c>
      <c r="B145">
        <v>1834855903</v>
      </c>
      <c r="C145" t="s">
        <v>157</v>
      </c>
      <c r="D145" t="s">
        <v>515</v>
      </c>
      <c r="E145" s="5">
        <v>45435</v>
      </c>
      <c r="F145" t="s">
        <v>518</v>
      </c>
      <c r="G145">
        <v>40963.760000000002</v>
      </c>
      <c r="H145">
        <v>169300.97</v>
      </c>
      <c r="I145">
        <v>5.84</v>
      </c>
      <c r="J145">
        <v>439187.5</v>
      </c>
      <c r="K145">
        <v>9</v>
      </c>
      <c r="L145">
        <v>40492.97</v>
      </c>
      <c r="M145" t="s">
        <v>521</v>
      </c>
      <c r="N145">
        <v>18</v>
      </c>
    </row>
    <row r="146" spans="1:14" x14ac:dyDescent="0.3">
      <c r="A146">
        <v>100145</v>
      </c>
      <c r="B146">
        <v>5164129137</v>
      </c>
      <c r="C146" t="s">
        <v>158</v>
      </c>
      <c r="D146" t="s">
        <v>515</v>
      </c>
      <c r="E146" s="5">
        <v>45436</v>
      </c>
      <c r="F146" t="s">
        <v>518</v>
      </c>
      <c r="G146">
        <v>19340.849999999999</v>
      </c>
      <c r="H146">
        <v>346300.33</v>
      </c>
      <c r="I146">
        <v>8.8000000000000007</v>
      </c>
      <c r="J146">
        <v>672415.03</v>
      </c>
      <c r="K146">
        <v>10</v>
      </c>
      <c r="L146">
        <v>30008.83</v>
      </c>
      <c r="M146" t="s">
        <v>522</v>
      </c>
      <c r="N146">
        <v>18</v>
      </c>
    </row>
    <row r="147" spans="1:14" x14ac:dyDescent="0.3">
      <c r="A147">
        <v>100146</v>
      </c>
      <c r="B147">
        <v>5471350930</v>
      </c>
      <c r="C147" t="s">
        <v>159</v>
      </c>
      <c r="D147" t="s">
        <v>516</v>
      </c>
      <c r="E147" s="5">
        <v>45437</v>
      </c>
      <c r="F147" t="s">
        <v>518</v>
      </c>
      <c r="G147">
        <v>43959.73</v>
      </c>
      <c r="H147">
        <v>44124.160000000003</v>
      </c>
      <c r="I147">
        <v>6.56</v>
      </c>
      <c r="J147">
        <v>297224.77</v>
      </c>
      <c r="K147">
        <v>12</v>
      </c>
      <c r="L147">
        <v>9129.15</v>
      </c>
      <c r="M147" t="s">
        <v>520</v>
      </c>
      <c r="N147">
        <v>18</v>
      </c>
    </row>
    <row r="148" spans="1:14" x14ac:dyDescent="0.3">
      <c r="A148">
        <v>100147</v>
      </c>
      <c r="B148">
        <v>2712922743</v>
      </c>
      <c r="C148" t="s">
        <v>160</v>
      </c>
      <c r="D148" t="s">
        <v>516</v>
      </c>
      <c r="E148" s="5">
        <v>45438</v>
      </c>
      <c r="F148" t="s">
        <v>518</v>
      </c>
      <c r="G148">
        <v>43468.81</v>
      </c>
      <c r="H148">
        <v>95691.9</v>
      </c>
      <c r="I148">
        <v>9.42</v>
      </c>
      <c r="J148">
        <v>201517.65</v>
      </c>
      <c r="K148">
        <v>1</v>
      </c>
      <c r="L148">
        <v>2209.52</v>
      </c>
      <c r="M148" t="s">
        <v>523</v>
      </c>
      <c r="N148">
        <v>18</v>
      </c>
    </row>
    <row r="149" spans="1:14" x14ac:dyDescent="0.3">
      <c r="A149">
        <v>100148</v>
      </c>
      <c r="B149">
        <v>1791707097</v>
      </c>
      <c r="C149" t="s">
        <v>161</v>
      </c>
      <c r="D149" t="s">
        <v>514</v>
      </c>
      <c r="E149" s="5">
        <v>45439</v>
      </c>
      <c r="F149" t="s">
        <v>518</v>
      </c>
      <c r="G149">
        <v>40393.31</v>
      </c>
      <c r="H149">
        <v>429311.26</v>
      </c>
      <c r="I149">
        <v>4.79</v>
      </c>
      <c r="J149">
        <v>202439.48</v>
      </c>
      <c r="K149">
        <v>9</v>
      </c>
      <c r="L149">
        <v>18774.93</v>
      </c>
      <c r="M149" t="s">
        <v>520</v>
      </c>
      <c r="N149">
        <v>18</v>
      </c>
    </row>
    <row r="150" spans="1:14" x14ac:dyDescent="0.3">
      <c r="A150">
        <v>100149</v>
      </c>
      <c r="B150">
        <v>1347346749</v>
      </c>
      <c r="C150" t="s">
        <v>162</v>
      </c>
      <c r="D150" t="s">
        <v>516</v>
      </c>
      <c r="E150" s="5">
        <v>45440</v>
      </c>
      <c r="F150" t="s">
        <v>517</v>
      </c>
      <c r="G150">
        <v>39606.51</v>
      </c>
      <c r="H150">
        <v>121317.98</v>
      </c>
      <c r="I150">
        <v>11.01</v>
      </c>
      <c r="J150">
        <v>116967.35</v>
      </c>
      <c r="K150">
        <v>15</v>
      </c>
      <c r="L150">
        <v>27788.12</v>
      </c>
      <c r="M150" t="s">
        <v>522</v>
      </c>
      <c r="N150">
        <v>18</v>
      </c>
    </row>
    <row r="151" spans="1:14" x14ac:dyDescent="0.3">
      <c r="A151">
        <v>100150</v>
      </c>
      <c r="B151">
        <v>3957084555</v>
      </c>
      <c r="C151" t="s">
        <v>163</v>
      </c>
      <c r="D151" t="s">
        <v>516</v>
      </c>
      <c r="E151" s="5">
        <v>45441</v>
      </c>
      <c r="F151" t="s">
        <v>517</v>
      </c>
      <c r="G151">
        <v>15581.62</v>
      </c>
      <c r="H151">
        <v>420150.15</v>
      </c>
      <c r="I151">
        <v>5.59</v>
      </c>
      <c r="J151">
        <v>226364.37</v>
      </c>
      <c r="K151">
        <v>1</v>
      </c>
      <c r="L151">
        <v>42151.199999999997</v>
      </c>
      <c r="M151" t="s">
        <v>520</v>
      </c>
      <c r="N151">
        <v>18</v>
      </c>
    </row>
    <row r="152" spans="1:14" x14ac:dyDescent="0.3">
      <c r="A152">
        <v>100151</v>
      </c>
      <c r="B152">
        <v>1249939584</v>
      </c>
      <c r="C152" t="s">
        <v>164</v>
      </c>
      <c r="D152" t="s">
        <v>514</v>
      </c>
      <c r="E152" s="5">
        <v>45442</v>
      </c>
      <c r="F152" t="s">
        <v>518</v>
      </c>
      <c r="G152">
        <v>4505.5</v>
      </c>
      <c r="H152">
        <v>146845.28</v>
      </c>
      <c r="I152">
        <v>6.31</v>
      </c>
      <c r="J152">
        <v>681008.42</v>
      </c>
      <c r="K152">
        <v>12</v>
      </c>
      <c r="L152">
        <v>7246.8</v>
      </c>
      <c r="M152" t="s">
        <v>521</v>
      </c>
      <c r="N152">
        <v>18</v>
      </c>
    </row>
    <row r="153" spans="1:14" x14ac:dyDescent="0.3">
      <c r="A153">
        <v>100152</v>
      </c>
      <c r="B153">
        <v>9225780345</v>
      </c>
      <c r="C153" t="s">
        <v>165</v>
      </c>
      <c r="D153" t="s">
        <v>516</v>
      </c>
      <c r="E153" s="5">
        <v>45443</v>
      </c>
      <c r="F153" t="s">
        <v>517</v>
      </c>
      <c r="G153">
        <v>20447.52</v>
      </c>
      <c r="H153">
        <v>325012.14</v>
      </c>
      <c r="I153">
        <v>3.52</v>
      </c>
      <c r="J153">
        <v>887606.08</v>
      </c>
      <c r="K153">
        <v>3</v>
      </c>
      <c r="L153">
        <v>40210.11</v>
      </c>
      <c r="M153" t="s">
        <v>521</v>
      </c>
      <c r="N153">
        <v>18</v>
      </c>
    </row>
    <row r="154" spans="1:14" x14ac:dyDescent="0.3">
      <c r="A154">
        <v>100153</v>
      </c>
      <c r="B154">
        <v>2899888366</v>
      </c>
      <c r="C154" t="s">
        <v>166</v>
      </c>
      <c r="D154" t="s">
        <v>516</v>
      </c>
      <c r="E154" s="5">
        <v>45444</v>
      </c>
      <c r="F154" t="s">
        <v>518</v>
      </c>
      <c r="G154">
        <v>9089.4599999999991</v>
      </c>
      <c r="H154">
        <v>350133.78</v>
      </c>
      <c r="I154">
        <v>4</v>
      </c>
      <c r="J154">
        <v>823419.4</v>
      </c>
      <c r="K154">
        <v>11</v>
      </c>
      <c r="L154">
        <v>43287.44</v>
      </c>
      <c r="M154" t="s">
        <v>522</v>
      </c>
      <c r="N154">
        <v>18</v>
      </c>
    </row>
    <row r="155" spans="1:14" x14ac:dyDescent="0.3">
      <c r="A155">
        <v>100154</v>
      </c>
      <c r="B155">
        <v>6324846175</v>
      </c>
      <c r="C155" t="s">
        <v>167</v>
      </c>
      <c r="D155" t="s">
        <v>514</v>
      </c>
      <c r="E155" s="5">
        <v>45445</v>
      </c>
      <c r="F155" t="s">
        <v>518</v>
      </c>
      <c r="G155">
        <v>34900.080000000002</v>
      </c>
      <c r="H155">
        <v>261200.83</v>
      </c>
      <c r="I155">
        <v>7.64</v>
      </c>
      <c r="J155">
        <v>700877.59</v>
      </c>
      <c r="K155">
        <v>2</v>
      </c>
      <c r="L155">
        <v>8383.69</v>
      </c>
      <c r="M155" t="s">
        <v>519</v>
      </c>
      <c r="N155">
        <v>18</v>
      </c>
    </row>
    <row r="156" spans="1:14" x14ac:dyDescent="0.3">
      <c r="A156">
        <v>100155</v>
      </c>
      <c r="B156">
        <v>5698150005</v>
      </c>
      <c r="C156" t="s">
        <v>168</v>
      </c>
      <c r="D156" t="s">
        <v>514</v>
      </c>
      <c r="E156" s="5">
        <v>45446</v>
      </c>
      <c r="F156" t="s">
        <v>517</v>
      </c>
      <c r="G156">
        <v>17631.939999999999</v>
      </c>
      <c r="H156">
        <v>159602.23000000001</v>
      </c>
      <c r="I156">
        <v>5.41</v>
      </c>
      <c r="J156">
        <v>154910.26999999999</v>
      </c>
      <c r="K156">
        <v>16</v>
      </c>
      <c r="L156">
        <v>42728.12</v>
      </c>
      <c r="M156" t="s">
        <v>521</v>
      </c>
      <c r="N156">
        <v>18</v>
      </c>
    </row>
    <row r="157" spans="1:14" x14ac:dyDescent="0.3">
      <c r="A157">
        <v>100156</v>
      </c>
      <c r="B157">
        <v>3741351296</v>
      </c>
      <c r="C157" t="s">
        <v>169</v>
      </c>
      <c r="D157" t="s">
        <v>514</v>
      </c>
      <c r="E157" s="5">
        <v>45447</v>
      </c>
      <c r="F157" t="s">
        <v>518</v>
      </c>
      <c r="G157">
        <v>48792.7</v>
      </c>
      <c r="H157">
        <v>114195.74</v>
      </c>
      <c r="I157">
        <v>10.52</v>
      </c>
      <c r="J157">
        <v>324728.07</v>
      </c>
      <c r="K157">
        <v>9</v>
      </c>
      <c r="L157">
        <v>49581.22</v>
      </c>
      <c r="M157" t="s">
        <v>523</v>
      </c>
      <c r="N157">
        <v>18</v>
      </c>
    </row>
    <row r="158" spans="1:14" x14ac:dyDescent="0.3">
      <c r="A158">
        <v>100157</v>
      </c>
      <c r="B158">
        <v>8430462300</v>
      </c>
      <c r="C158" t="s">
        <v>170</v>
      </c>
      <c r="D158" t="s">
        <v>515</v>
      </c>
      <c r="E158" s="5">
        <v>45448</v>
      </c>
      <c r="F158" t="s">
        <v>518</v>
      </c>
      <c r="G158">
        <v>32228.12</v>
      </c>
      <c r="H158">
        <v>26262.78</v>
      </c>
      <c r="I158">
        <v>3.13</v>
      </c>
      <c r="J158">
        <v>344316.53</v>
      </c>
      <c r="K158">
        <v>15</v>
      </c>
      <c r="L158">
        <v>36615.1</v>
      </c>
      <c r="M158" t="s">
        <v>522</v>
      </c>
      <c r="N158">
        <v>18</v>
      </c>
    </row>
    <row r="159" spans="1:14" x14ac:dyDescent="0.3">
      <c r="A159">
        <v>100158</v>
      </c>
      <c r="B159">
        <v>9794873794</v>
      </c>
      <c r="C159" t="s">
        <v>171</v>
      </c>
      <c r="D159" t="s">
        <v>515</v>
      </c>
      <c r="E159" s="5">
        <v>45449</v>
      </c>
      <c r="F159" t="s">
        <v>518</v>
      </c>
      <c r="G159">
        <v>41212.79</v>
      </c>
      <c r="H159">
        <v>158933.74</v>
      </c>
      <c r="I159">
        <v>6.41</v>
      </c>
      <c r="J159">
        <v>287459.09999999998</v>
      </c>
      <c r="K159">
        <v>12</v>
      </c>
      <c r="L159">
        <v>39453.71</v>
      </c>
      <c r="M159" t="s">
        <v>520</v>
      </c>
      <c r="N159">
        <v>18</v>
      </c>
    </row>
    <row r="160" spans="1:14" x14ac:dyDescent="0.3">
      <c r="A160">
        <v>100159</v>
      </c>
      <c r="B160">
        <v>1516103253</v>
      </c>
      <c r="C160" t="s">
        <v>172</v>
      </c>
      <c r="D160" t="s">
        <v>514</v>
      </c>
      <c r="E160" s="5">
        <v>45450</v>
      </c>
      <c r="F160" t="s">
        <v>518</v>
      </c>
      <c r="G160">
        <v>7059.97</v>
      </c>
      <c r="H160">
        <v>330049.77</v>
      </c>
      <c r="I160">
        <v>6.04</v>
      </c>
      <c r="J160">
        <v>539255.38</v>
      </c>
      <c r="K160">
        <v>1</v>
      </c>
      <c r="L160">
        <v>49726.35</v>
      </c>
      <c r="M160" t="s">
        <v>520</v>
      </c>
      <c r="N160">
        <v>18</v>
      </c>
    </row>
    <row r="161" spans="1:14" x14ac:dyDescent="0.3">
      <c r="A161">
        <v>100160</v>
      </c>
      <c r="B161">
        <v>2468362012</v>
      </c>
      <c r="C161" t="s">
        <v>173</v>
      </c>
      <c r="D161" t="s">
        <v>514</v>
      </c>
      <c r="E161" s="5">
        <v>45451</v>
      </c>
      <c r="F161" t="s">
        <v>517</v>
      </c>
      <c r="G161">
        <v>43169.72</v>
      </c>
      <c r="H161">
        <v>469769.36</v>
      </c>
      <c r="I161">
        <v>3.17</v>
      </c>
      <c r="J161">
        <v>558776.12</v>
      </c>
      <c r="K161">
        <v>13</v>
      </c>
      <c r="L161">
        <v>30668.58</v>
      </c>
      <c r="M161" t="s">
        <v>523</v>
      </c>
      <c r="N161">
        <v>18</v>
      </c>
    </row>
    <row r="162" spans="1:14" x14ac:dyDescent="0.3">
      <c r="A162">
        <v>100161</v>
      </c>
      <c r="B162">
        <v>5689241307</v>
      </c>
      <c r="C162" t="s">
        <v>174</v>
      </c>
      <c r="D162" t="s">
        <v>514</v>
      </c>
      <c r="E162" s="5">
        <v>45452</v>
      </c>
      <c r="F162" t="s">
        <v>518</v>
      </c>
      <c r="G162">
        <v>46176.480000000003</v>
      </c>
      <c r="H162">
        <v>436890.2</v>
      </c>
      <c r="I162">
        <v>4.12</v>
      </c>
      <c r="J162">
        <v>389041.68</v>
      </c>
      <c r="K162">
        <v>14</v>
      </c>
      <c r="L162">
        <v>16086.43</v>
      </c>
      <c r="M162" t="s">
        <v>521</v>
      </c>
      <c r="N162">
        <v>18</v>
      </c>
    </row>
    <row r="163" spans="1:14" x14ac:dyDescent="0.3">
      <c r="A163">
        <v>100162</v>
      </c>
      <c r="B163">
        <v>1404401198</v>
      </c>
      <c r="C163" t="s">
        <v>175</v>
      </c>
      <c r="D163" t="s">
        <v>515</v>
      </c>
      <c r="E163" s="5">
        <v>45453</v>
      </c>
      <c r="F163" t="s">
        <v>518</v>
      </c>
      <c r="G163">
        <v>24609.56</v>
      </c>
      <c r="H163">
        <v>385371.74</v>
      </c>
      <c r="I163">
        <v>6.72</v>
      </c>
      <c r="J163">
        <v>386099.7</v>
      </c>
      <c r="K163">
        <v>8</v>
      </c>
      <c r="L163">
        <v>42039.01</v>
      </c>
      <c r="M163" t="s">
        <v>522</v>
      </c>
      <c r="N163">
        <v>18</v>
      </c>
    </row>
    <row r="164" spans="1:14" x14ac:dyDescent="0.3">
      <c r="A164">
        <v>100163</v>
      </c>
      <c r="B164">
        <v>2337509981</v>
      </c>
      <c r="C164" t="s">
        <v>176</v>
      </c>
      <c r="D164" t="s">
        <v>515</v>
      </c>
      <c r="E164" s="5">
        <v>45454</v>
      </c>
      <c r="F164" t="s">
        <v>518</v>
      </c>
      <c r="G164">
        <v>30509.52</v>
      </c>
      <c r="H164">
        <v>396339.20000000001</v>
      </c>
      <c r="I164">
        <v>7.44</v>
      </c>
      <c r="J164">
        <v>837127.82</v>
      </c>
      <c r="K164">
        <v>8</v>
      </c>
      <c r="L164">
        <v>31109.8</v>
      </c>
      <c r="M164" t="s">
        <v>523</v>
      </c>
      <c r="N164">
        <v>18</v>
      </c>
    </row>
    <row r="165" spans="1:14" x14ac:dyDescent="0.3">
      <c r="A165">
        <v>100164</v>
      </c>
      <c r="B165">
        <v>9501932989</v>
      </c>
      <c r="C165" t="s">
        <v>177</v>
      </c>
      <c r="D165" t="s">
        <v>516</v>
      </c>
      <c r="E165" s="5">
        <v>45455</v>
      </c>
      <c r="F165" t="s">
        <v>517</v>
      </c>
      <c r="G165">
        <v>38358.089999999997</v>
      </c>
      <c r="H165">
        <v>335842.6</v>
      </c>
      <c r="I165">
        <v>6.64</v>
      </c>
      <c r="J165">
        <v>799828.21</v>
      </c>
      <c r="K165">
        <v>12</v>
      </c>
      <c r="L165">
        <v>29478.58</v>
      </c>
      <c r="M165" t="s">
        <v>521</v>
      </c>
      <c r="N165">
        <v>18</v>
      </c>
    </row>
    <row r="166" spans="1:14" x14ac:dyDescent="0.3">
      <c r="A166">
        <v>100165</v>
      </c>
      <c r="B166">
        <v>8573592537</v>
      </c>
      <c r="C166" t="s">
        <v>178</v>
      </c>
      <c r="D166" t="s">
        <v>516</v>
      </c>
      <c r="E166" s="5">
        <v>45456</v>
      </c>
      <c r="F166" t="s">
        <v>518</v>
      </c>
      <c r="G166">
        <v>9154.51</v>
      </c>
      <c r="H166">
        <v>137540.56</v>
      </c>
      <c r="I166">
        <v>7.78</v>
      </c>
      <c r="J166">
        <v>342406.04</v>
      </c>
      <c r="K166">
        <v>1</v>
      </c>
      <c r="L166">
        <v>13428.14</v>
      </c>
      <c r="M166" t="s">
        <v>522</v>
      </c>
      <c r="N166">
        <v>18</v>
      </c>
    </row>
    <row r="167" spans="1:14" x14ac:dyDescent="0.3">
      <c r="A167">
        <v>100166</v>
      </c>
      <c r="B167">
        <v>2995758845</v>
      </c>
      <c r="C167" t="s">
        <v>179</v>
      </c>
      <c r="D167" t="s">
        <v>514</v>
      </c>
      <c r="E167" s="5">
        <v>45457</v>
      </c>
      <c r="F167" t="s">
        <v>517</v>
      </c>
      <c r="G167">
        <v>25377.02</v>
      </c>
      <c r="H167">
        <v>454525.57</v>
      </c>
      <c r="I167">
        <v>8.36</v>
      </c>
      <c r="J167">
        <v>918099.02</v>
      </c>
      <c r="K167">
        <v>11</v>
      </c>
      <c r="L167">
        <v>38060.379999999997</v>
      </c>
      <c r="M167" t="s">
        <v>520</v>
      </c>
      <c r="N167">
        <v>18</v>
      </c>
    </row>
    <row r="168" spans="1:14" x14ac:dyDescent="0.3">
      <c r="A168">
        <v>100167</v>
      </c>
      <c r="B168">
        <v>8085724004</v>
      </c>
      <c r="C168" t="s">
        <v>180</v>
      </c>
      <c r="D168" t="s">
        <v>515</v>
      </c>
      <c r="E168" s="5">
        <v>45458</v>
      </c>
      <c r="F168" t="s">
        <v>517</v>
      </c>
      <c r="G168">
        <v>20233.82</v>
      </c>
      <c r="H168">
        <v>338658.83</v>
      </c>
      <c r="I168">
        <v>3.09</v>
      </c>
      <c r="J168">
        <v>955174.27</v>
      </c>
      <c r="K168">
        <v>8</v>
      </c>
      <c r="L168">
        <v>5001.7</v>
      </c>
      <c r="M168" t="s">
        <v>522</v>
      </c>
      <c r="N168">
        <v>18</v>
      </c>
    </row>
    <row r="169" spans="1:14" x14ac:dyDescent="0.3">
      <c r="A169">
        <v>100168</v>
      </c>
      <c r="B169">
        <v>9796346105</v>
      </c>
      <c r="C169" t="s">
        <v>181</v>
      </c>
      <c r="D169" t="s">
        <v>515</v>
      </c>
      <c r="E169" s="5">
        <v>45459</v>
      </c>
      <c r="F169" t="s">
        <v>518</v>
      </c>
      <c r="G169">
        <v>7745.51</v>
      </c>
      <c r="H169">
        <v>284615.90999999997</v>
      </c>
      <c r="I169">
        <v>7.18</v>
      </c>
      <c r="J169">
        <v>360405.41</v>
      </c>
      <c r="K169">
        <v>10</v>
      </c>
      <c r="L169">
        <v>46290.07</v>
      </c>
      <c r="M169" t="s">
        <v>519</v>
      </c>
      <c r="N169">
        <v>18</v>
      </c>
    </row>
    <row r="170" spans="1:14" x14ac:dyDescent="0.3">
      <c r="A170">
        <v>100169</v>
      </c>
      <c r="B170">
        <v>9371517173</v>
      </c>
      <c r="C170" t="s">
        <v>182</v>
      </c>
      <c r="D170" t="s">
        <v>515</v>
      </c>
      <c r="E170" s="5">
        <v>45460</v>
      </c>
      <c r="F170" t="s">
        <v>518</v>
      </c>
      <c r="G170">
        <v>18692.95</v>
      </c>
      <c r="H170">
        <v>64384.84</v>
      </c>
      <c r="I170">
        <v>11.67</v>
      </c>
      <c r="J170">
        <v>386703.7</v>
      </c>
      <c r="K170">
        <v>19</v>
      </c>
      <c r="L170">
        <v>16965.349999999999</v>
      </c>
      <c r="M170" t="s">
        <v>522</v>
      </c>
      <c r="N170">
        <v>18</v>
      </c>
    </row>
    <row r="171" spans="1:14" x14ac:dyDescent="0.3">
      <c r="A171">
        <v>100170</v>
      </c>
      <c r="B171">
        <v>4808263267</v>
      </c>
      <c r="C171" t="s">
        <v>183</v>
      </c>
      <c r="D171" t="s">
        <v>514</v>
      </c>
      <c r="E171" s="5">
        <v>45461</v>
      </c>
      <c r="F171" t="s">
        <v>517</v>
      </c>
      <c r="G171">
        <v>3874.53</v>
      </c>
      <c r="H171">
        <v>229057.22</v>
      </c>
      <c r="I171">
        <v>7.67</v>
      </c>
      <c r="J171">
        <v>530352.44999999995</v>
      </c>
      <c r="K171">
        <v>11</v>
      </c>
      <c r="L171">
        <v>7260.96</v>
      </c>
      <c r="M171" t="s">
        <v>519</v>
      </c>
      <c r="N171">
        <v>18</v>
      </c>
    </row>
    <row r="172" spans="1:14" x14ac:dyDescent="0.3">
      <c r="A172">
        <v>100171</v>
      </c>
      <c r="B172">
        <v>6415496883</v>
      </c>
      <c r="C172" t="s">
        <v>184</v>
      </c>
      <c r="D172" t="s">
        <v>516</v>
      </c>
      <c r="E172" s="5">
        <v>45462</v>
      </c>
      <c r="F172" t="s">
        <v>518</v>
      </c>
      <c r="G172">
        <v>1777.69</v>
      </c>
      <c r="H172">
        <v>235575.55</v>
      </c>
      <c r="I172">
        <v>9.1</v>
      </c>
      <c r="J172">
        <v>944064.77</v>
      </c>
      <c r="K172">
        <v>7</v>
      </c>
      <c r="L172">
        <v>22675.96</v>
      </c>
      <c r="M172" t="s">
        <v>522</v>
      </c>
      <c r="N172">
        <v>18</v>
      </c>
    </row>
    <row r="173" spans="1:14" x14ac:dyDescent="0.3">
      <c r="A173">
        <v>100172</v>
      </c>
      <c r="B173">
        <v>9655667081</v>
      </c>
      <c r="C173" t="s">
        <v>185</v>
      </c>
      <c r="D173" t="s">
        <v>514</v>
      </c>
      <c r="E173" s="5">
        <v>45463</v>
      </c>
      <c r="F173" t="s">
        <v>517</v>
      </c>
      <c r="G173">
        <v>7190.73</v>
      </c>
      <c r="H173">
        <v>433636.17</v>
      </c>
      <c r="I173">
        <v>5.81</v>
      </c>
      <c r="J173">
        <v>882503.46</v>
      </c>
      <c r="K173">
        <v>11</v>
      </c>
      <c r="L173">
        <v>3081.03</v>
      </c>
      <c r="M173" t="s">
        <v>519</v>
      </c>
      <c r="N173">
        <v>18</v>
      </c>
    </row>
    <row r="174" spans="1:14" x14ac:dyDescent="0.3">
      <c r="A174">
        <v>100173</v>
      </c>
      <c r="B174">
        <v>9304045714</v>
      </c>
      <c r="C174" t="s">
        <v>186</v>
      </c>
      <c r="D174" t="s">
        <v>516</v>
      </c>
      <c r="E174" s="5">
        <v>45464</v>
      </c>
      <c r="F174" t="s">
        <v>517</v>
      </c>
      <c r="G174">
        <v>48174.2</v>
      </c>
      <c r="H174">
        <v>277857.63</v>
      </c>
      <c r="I174">
        <v>9.9700000000000006</v>
      </c>
      <c r="J174">
        <v>147439.56</v>
      </c>
      <c r="K174">
        <v>17</v>
      </c>
      <c r="L174">
        <v>34546.68</v>
      </c>
      <c r="M174" t="s">
        <v>520</v>
      </c>
      <c r="N174">
        <v>18</v>
      </c>
    </row>
    <row r="175" spans="1:14" x14ac:dyDescent="0.3">
      <c r="A175">
        <v>100174</v>
      </c>
      <c r="B175">
        <v>7446917215</v>
      </c>
      <c r="C175" t="s">
        <v>187</v>
      </c>
      <c r="D175" t="s">
        <v>516</v>
      </c>
      <c r="E175" s="5">
        <v>45465</v>
      </c>
      <c r="F175" t="s">
        <v>518</v>
      </c>
      <c r="G175">
        <v>27701.71</v>
      </c>
      <c r="H175">
        <v>196396.27</v>
      </c>
      <c r="I175">
        <v>9.9600000000000009</v>
      </c>
      <c r="J175">
        <v>423094.21</v>
      </c>
      <c r="K175">
        <v>1</v>
      </c>
      <c r="L175">
        <v>45232.57</v>
      </c>
      <c r="M175" t="s">
        <v>521</v>
      </c>
      <c r="N175">
        <v>18</v>
      </c>
    </row>
    <row r="176" spans="1:14" x14ac:dyDescent="0.3">
      <c r="A176">
        <v>100175</v>
      </c>
      <c r="B176">
        <v>3316608503</v>
      </c>
      <c r="C176" t="s">
        <v>188</v>
      </c>
      <c r="D176" t="s">
        <v>514</v>
      </c>
      <c r="E176" s="5">
        <v>45466</v>
      </c>
      <c r="F176" t="s">
        <v>518</v>
      </c>
      <c r="G176">
        <v>48308.2</v>
      </c>
      <c r="H176">
        <v>488632.16</v>
      </c>
      <c r="I176">
        <v>7.69</v>
      </c>
      <c r="J176">
        <v>575702.63</v>
      </c>
      <c r="K176">
        <v>8</v>
      </c>
      <c r="L176">
        <v>42025.89</v>
      </c>
      <c r="M176" t="s">
        <v>519</v>
      </c>
      <c r="N176">
        <v>18</v>
      </c>
    </row>
    <row r="177" spans="1:14" x14ac:dyDescent="0.3">
      <c r="A177">
        <v>100176</v>
      </c>
      <c r="B177">
        <v>3937602028</v>
      </c>
      <c r="C177" t="s">
        <v>189</v>
      </c>
      <c r="D177" t="s">
        <v>516</v>
      </c>
      <c r="E177" s="5">
        <v>45467</v>
      </c>
      <c r="F177" t="s">
        <v>517</v>
      </c>
      <c r="G177">
        <v>21908.639999999999</v>
      </c>
      <c r="H177">
        <v>64253.09</v>
      </c>
      <c r="I177">
        <v>11.78</v>
      </c>
      <c r="J177">
        <v>527975.85</v>
      </c>
      <c r="K177">
        <v>6</v>
      </c>
      <c r="L177">
        <v>7241.1</v>
      </c>
      <c r="M177" t="s">
        <v>519</v>
      </c>
      <c r="N177">
        <v>18</v>
      </c>
    </row>
    <row r="178" spans="1:14" x14ac:dyDescent="0.3">
      <c r="A178">
        <v>100177</v>
      </c>
      <c r="B178">
        <v>4724591067</v>
      </c>
      <c r="C178" t="s">
        <v>190</v>
      </c>
      <c r="D178" t="s">
        <v>516</v>
      </c>
      <c r="E178" s="5">
        <v>45468</v>
      </c>
      <c r="F178" t="s">
        <v>517</v>
      </c>
      <c r="G178">
        <v>15934.9</v>
      </c>
      <c r="H178">
        <v>217048.73</v>
      </c>
      <c r="I178">
        <v>4.13</v>
      </c>
      <c r="J178">
        <v>234169.91</v>
      </c>
      <c r="K178">
        <v>18</v>
      </c>
      <c r="L178">
        <v>7187.29</v>
      </c>
      <c r="M178" t="s">
        <v>520</v>
      </c>
      <c r="N178">
        <v>18</v>
      </c>
    </row>
    <row r="179" spans="1:14" x14ac:dyDescent="0.3">
      <c r="A179">
        <v>100178</v>
      </c>
      <c r="B179">
        <v>7757559970</v>
      </c>
      <c r="C179" t="s">
        <v>191</v>
      </c>
      <c r="D179" t="s">
        <v>515</v>
      </c>
      <c r="E179" s="5">
        <v>45469</v>
      </c>
      <c r="F179" t="s">
        <v>517</v>
      </c>
      <c r="G179">
        <v>25554.02</v>
      </c>
      <c r="H179">
        <v>30592.09</v>
      </c>
      <c r="I179">
        <v>3.15</v>
      </c>
      <c r="J179">
        <v>865875.93</v>
      </c>
      <c r="K179">
        <v>6</v>
      </c>
      <c r="L179">
        <v>40858.29</v>
      </c>
      <c r="M179" t="s">
        <v>519</v>
      </c>
      <c r="N179">
        <v>18</v>
      </c>
    </row>
    <row r="180" spans="1:14" x14ac:dyDescent="0.3">
      <c r="A180">
        <v>100179</v>
      </c>
      <c r="B180">
        <v>4484095420</v>
      </c>
      <c r="C180" t="s">
        <v>192</v>
      </c>
      <c r="D180" t="s">
        <v>516</v>
      </c>
      <c r="E180" s="5">
        <v>45470</v>
      </c>
      <c r="F180" t="s">
        <v>517</v>
      </c>
      <c r="G180">
        <v>22255.83</v>
      </c>
      <c r="H180">
        <v>372553.02</v>
      </c>
      <c r="I180">
        <v>9.93</v>
      </c>
      <c r="J180">
        <v>693093.74</v>
      </c>
      <c r="K180">
        <v>5</v>
      </c>
      <c r="L180">
        <v>46288.46</v>
      </c>
      <c r="M180" t="s">
        <v>523</v>
      </c>
      <c r="N180">
        <v>18</v>
      </c>
    </row>
    <row r="181" spans="1:14" x14ac:dyDescent="0.3">
      <c r="A181">
        <v>100180</v>
      </c>
      <c r="B181">
        <v>3688390411</v>
      </c>
      <c r="C181" t="s">
        <v>193</v>
      </c>
      <c r="D181" t="s">
        <v>514</v>
      </c>
      <c r="E181" s="5">
        <v>45471</v>
      </c>
      <c r="F181" t="s">
        <v>518</v>
      </c>
      <c r="G181">
        <v>5730.4</v>
      </c>
      <c r="H181">
        <v>459857.51</v>
      </c>
      <c r="I181">
        <v>10.26</v>
      </c>
      <c r="J181">
        <v>846012.96</v>
      </c>
      <c r="K181">
        <v>13</v>
      </c>
      <c r="L181">
        <v>23572.82</v>
      </c>
      <c r="M181" t="s">
        <v>520</v>
      </c>
      <c r="N181">
        <v>18</v>
      </c>
    </row>
    <row r="182" spans="1:14" x14ac:dyDescent="0.3">
      <c r="A182">
        <v>100181</v>
      </c>
      <c r="B182">
        <v>3798105767</v>
      </c>
      <c r="C182" t="s">
        <v>194</v>
      </c>
      <c r="D182" t="s">
        <v>514</v>
      </c>
      <c r="E182" s="5">
        <v>45472</v>
      </c>
      <c r="F182" t="s">
        <v>518</v>
      </c>
      <c r="G182">
        <v>32220.9</v>
      </c>
      <c r="H182">
        <v>147218.29</v>
      </c>
      <c r="I182">
        <v>4.08</v>
      </c>
      <c r="J182">
        <v>865826.07</v>
      </c>
      <c r="K182">
        <v>19</v>
      </c>
      <c r="L182">
        <v>25449.58</v>
      </c>
      <c r="M182" t="s">
        <v>523</v>
      </c>
      <c r="N182">
        <v>18</v>
      </c>
    </row>
    <row r="183" spans="1:14" x14ac:dyDescent="0.3">
      <c r="A183">
        <v>100182</v>
      </c>
      <c r="B183">
        <v>6182669866</v>
      </c>
      <c r="C183" t="s">
        <v>195</v>
      </c>
      <c r="D183" t="s">
        <v>516</v>
      </c>
      <c r="E183" s="5">
        <v>45473</v>
      </c>
      <c r="F183" t="s">
        <v>518</v>
      </c>
      <c r="G183">
        <v>11193.89</v>
      </c>
      <c r="H183">
        <v>430587.42</v>
      </c>
      <c r="I183">
        <v>5.39</v>
      </c>
      <c r="J183">
        <v>760938.06</v>
      </c>
      <c r="K183">
        <v>8</v>
      </c>
      <c r="L183">
        <v>16594.84</v>
      </c>
      <c r="M183" t="s">
        <v>520</v>
      </c>
      <c r="N183">
        <v>18</v>
      </c>
    </row>
    <row r="184" spans="1:14" x14ac:dyDescent="0.3">
      <c r="A184">
        <v>100183</v>
      </c>
      <c r="B184">
        <v>1921653259</v>
      </c>
      <c r="C184" t="s">
        <v>196</v>
      </c>
      <c r="D184" t="s">
        <v>515</v>
      </c>
      <c r="E184" s="5">
        <v>45474</v>
      </c>
      <c r="F184" t="s">
        <v>518</v>
      </c>
      <c r="G184">
        <v>31169.599999999999</v>
      </c>
      <c r="H184">
        <v>153186.93</v>
      </c>
      <c r="I184">
        <v>3.16</v>
      </c>
      <c r="J184">
        <v>467250.07</v>
      </c>
      <c r="K184">
        <v>9</v>
      </c>
      <c r="L184">
        <v>44818.99</v>
      </c>
      <c r="M184" t="s">
        <v>519</v>
      </c>
      <c r="N184">
        <v>18</v>
      </c>
    </row>
    <row r="185" spans="1:14" x14ac:dyDescent="0.3">
      <c r="A185">
        <v>100184</v>
      </c>
      <c r="B185">
        <v>5462312700</v>
      </c>
      <c r="C185" t="s">
        <v>197</v>
      </c>
      <c r="D185" t="s">
        <v>515</v>
      </c>
      <c r="E185" s="5">
        <v>45475</v>
      </c>
      <c r="F185" t="s">
        <v>518</v>
      </c>
      <c r="G185">
        <v>32684.95</v>
      </c>
      <c r="H185">
        <v>456277.38</v>
      </c>
      <c r="I185">
        <v>5.64</v>
      </c>
      <c r="J185">
        <v>630019.42000000004</v>
      </c>
      <c r="K185">
        <v>17</v>
      </c>
      <c r="L185">
        <v>32600.240000000002</v>
      </c>
      <c r="M185" t="s">
        <v>523</v>
      </c>
      <c r="N185">
        <v>18</v>
      </c>
    </row>
    <row r="186" spans="1:14" x14ac:dyDescent="0.3">
      <c r="A186">
        <v>100185</v>
      </c>
      <c r="B186">
        <v>3816307289</v>
      </c>
      <c r="C186" t="s">
        <v>198</v>
      </c>
      <c r="D186" t="s">
        <v>516</v>
      </c>
      <c r="E186" s="5">
        <v>45476</v>
      </c>
      <c r="F186" t="s">
        <v>517</v>
      </c>
      <c r="G186">
        <v>8025.23</v>
      </c>
      <c r="H186">
        <v>379441.33</v>
      </c>
      <c r="I186">
        <v>9.9600000000000009</v>
      </c>
      <c r="J186">
        <v>202347.14</v>
      </c>
      <c r="K186">
        <v>3</v>
      </c>
      <c r="L186">
        <v>15124.33</v>
      </c>
      <c r="M186" t="s">
        <v>519</v>
      </c>
      <c r="N186">
        <v>18</v>
      </c>
    </row>
    <row r="187" spans="1:14" x14ac:dyDescent="0.3">
      <c r="A187">
        <v>100186</v>
      </c>
      <c r="B187">
        <v>8222475721</v>
      </c>
      <c r="C187" t="s">
        <v>199</v>
      </c>
      <c r="D187" t="s">
        <v>516</v>
      </c>
      <c r="E187" s="5">
        <v>45477</v>
      </c>
      <c r="F187" t="s">
        <v>518</v>
      </c>
      <c r="G187">
        <v>3536.81</v>
      </c>
      <c r="H187">
        <v>404404.32</v>
      </c>
      <c r="I187">
        <v>7.66</v>
      </c>
      <c r="J187">
        <v>689963.15</v>
      </c>
      <c r="K187">
        <v>19</v>
      </c>
      <c r="L187">
        <v>15640.36</v>
      </c>
      <c r="M187" t="s">
        <v>520</v>
      </c>
      <c r="N187">
        <v>18</v>
      </c>
    </row>
    <row r="188" spans="1:14" x14ac:dyDescent="0.3">
      <c r="A188">
        <v>100187</v>
      </c>
      <c r="B188">
        <v>6757938685</v>
      </c>
      <c r="C188" t="s">
        <v>200</v>
      </c>
      <c r="D188" t="s">
        <v>514</v>
      </c>
      <c r="E188" s="5">
        <v>45478</v>
      </c>
      <c r="F188" t="s">
        <v>518</v>
      </c>
      <c r="G188">
        <v>39147.699999999997</v>
      </c>
      <c r="H188">
        <v>18823.21</v>
      </c>
      <c r="I188">
        <v>6.13</v>
      </c>
      <c r="J188">
        <v>220290.59</v>
      </c>
      <c r="K188">
        <v>11</v>
      </c>
      <c r="L188">
        <v>44668.800000000003</v>
      </c>
      <c r="M188" t="s">
        <v>519</v>
      </c>
      <c r="N188">
        <v>18</v>
      </c>
    </row>
    <row r="189" spans="1:14" x14ac:dyDescent="0.3">
      <c r="A189">
        <v>100188</v>
      </c>
      <c r="B189">
        <v>6414641778</v>
      </c>
      <c r="C189" t="s">
        <v>201</v>
      </c>
      <c r="D189" t="s">
        <v>516</v>
      </c>
      <c r="E189" s="5">
        <v>45479</v>
      </c>
      <c r="F189" t="s">
        <v>518</v>
      </c>
      <c r="G189">
        <v>23260.12</v>
      </c>
      <c r="H189">
        <v>481777.07</v>
      </c>
      <c r="I189">
        <v>6.35</v>
      </c>
      <c r="J189">
        <v>709252.11</v>
      </c>
      <c r="K189">
        <v>17</v>
      </c>
      <c r="L189">
        <v>1668.07</v>
      </c>
      <c r="M189" t="s">
        <v>523</v>
      </c>
      <c r="N189">
        <v>18</v>
      </c>
    </row>
    <row r="190" spans="1:14" x14ac:dyDescent="0.3">
      <c r="A190">
        <v>100189</v>
      </c>
      <c r="B190">
        <v>3130464646</v>
      </c>
      <c r="C190" t="s">
        <v>202</v>
      </c>
      <c r="D190" t="s">
        <v>515</v>
      </c>
      <c r="E190" s="5">
        <v>45480</v>
      </c>
      <c r="F190" t="s">
        <v>518</v>
      </c>
      <c r="G190">
        <v>3379.11</v>
      </c>
      <c r="H190">
        <v>366068.79</v>
      </c>
      <c r="I190">
        <v>3.01</v>
      </c>
      <c r="J190">
        <v>268118.25</v>
      </c>
      <c r="K190">
        <v>19</v>
      </c>
      <c r="L190">
        <v>16813.599999999999</v>
      </c>
      <c r="M190" t="s">
        <v>523</v>
      </c>
      <c r="N190">
        <v>18</v>
      </c>
    </row>
    <row r="191" spans="1:14" x14ac:dyDescent="0.3">
      <c r="A191">
        <v>100190</v>
      </c>
      <c r="B191">
        <v>2496094321</v>
      </c>
      <c r="C191" t="s">
        <v>203</v>
      </c>
      <c r="D191" t="s">
        <v>516</v>
      </c>
      <c r="E191" s="5">
        <v>45481</v>
      </c>
      <c r="F191" t="s">
        <v>518</v>
      </c>
      <c r="G191">
        <v>49745.88</v>
      </c>
      <c r="H191">
        <v>159328.04</v>
      </c>
      <c r="I191">
        <v>5.7</v>
      </c>
      <c r="J191">
        <v>161673.74</v>
      </c>
      <c r="K191">
        <v>2</v>
      </c>
      <c r="L191">
        <v>28163.48</v>
      </c>
      <c r="M191" t="s">
        <v>519</v>
      </c>
      <c r="N191">
        <v>18</v>
      </c>
    </row>
    <row r="192" spans="1:14" x14ac:dyDescent="0.3">
      <c r="A192">
        <v>100191</v>
      </c>
      <c r="B192">
        <v>5022873162</v>
      </c>
      <c r="C192" t="s">
        <v>204</v>
      </c>
      <c r="D192" t="s">
        <v>514</v>
      </c>
      <c r="E192" s="5">
        <v>45482</v>
      </c>
      <c r="F192" t="s">
        <v>517</v>
      </c>
      <c r="G192">
        <v>3360.14</v>
      </c>
      <c r="H192">
        <v>416403.39</v>
      </c>
      <c r="I192">
        <v>8.82</v>
      </c>
      <c r="J192">
        <v>207020.27</v>
      </c>
      <c r="K192">
        <v>8</v>
      </c>
      <c r="L192">
        <v>8262.66</v>
      </c>
      <c r="M192" t="s">
        <v>522</v>
      </c>
      <c r="N192">
        <v>18</v>
      </c>
    </row>
    <row r="193" spans="1:14" x14ac:dyDescent="0.3">
      <c r="A193">
        <v>100192</v>
      </c>
      <c r="B193">
        <v>1168303991</v>
      </c>
      <c r="C193" t="s">
        <v>205</v>
      </c>
      <c r="D193" t="s">
        <v>514</v>
      </c>
      <c r="E193" s="5">
        <v>45483</v>
      </c>
      <c r="F193" t="s">
        <v>517</v>
      </c>
      <c r="G193">
        <v>34904.239999999998</v>
      </c>
      <c r="H193">
        <v>147945.39000000001</v>
      </c>
      <c r="I193">
        <v>11.77</v>
      </c>
      <c r="J193">
        <v>51892.53</v>
      </c>
      <c r="K193">
        <v>19</v>
      </c>
      <c r="L193">
        <v>5512.84</v>
      </c>
      <c r="M193" t="s">
        <v>520</v>
      </c>
      <c r="N193">
        <v>18</v>
      </c>
    </row>
    <row r="194" spans="1:14" x14ac:dyDescent="0.3">
      <c r="A194">
        <v>100193</v>
      </c>
      <c r="B194">
        <v>5155726844</v>
      </c>
      <c r="C194" t="s">
        <v>206</v>
      </c>
      <c r="D194" t="s">
        <v>514</v>
      </c>
      <c r="E194" s="5">
        <v>45484</v>
      </c>
      <c r="F194" t="s">
        <v>517</v>
      </c>
      <c r="G194">
        <v>49192.11</v>
      </c>
      <c r="H194">
        <v>437649.38</v>
      </c>
      <c r="I194">
        <v>10.62</v>
      </c>
      <c r="J194">
        <v>732802.64</v>
      </c>
      <c r="K194">
        <v>7</v>
      </c>
      <c r="L194">
        <v>40948.54</v>
      </c>
      <c r="M194" t="s">
        <v>520</v>
      </c>
      <c r="N194">
        <v>18</v>
      </c>
    </row>
    <row r="195" spans="1:14" x14ac:dyDescent="0.3">
      <c r="A195">
        <v>100194</v>
      </c>
      <c r="B195">
        <v>3353521315</v>
      </c>
      <c r="C195" t="s">
        <v>207</v>
      </c>
      <c r="D195" t="s">
        <v>514</v>
      </c>
      <c r="E195" s="5">
        <v>45485</v>
      </c>
      <c r="F195" t="s">
        <v>518</v>
      </c>
      <c r="G195">
        <v>12339.42</v>
      </c>
      <c r="H195">
        <v>65164.39</v>
      </c>
      <c r="I195">
        <v>3.21</v>
      </c>
      <c r="J195">
        <v>745781</v>
      </c>
      <c r="K195">
        <v>17</v>
      </c>
      <c r="L195">
        <v>44825.82</v>
      </c>
      <c r="M195" t="s">
        <v>519</v>
      </c>
      <c r="N195">
        <v>18</v>
      </c>
    </row>
    <row r="196" spans="1:14" x14ac:dyDescent="0.3">
      <c r="A196">
        <v>100195</v>
      </c>
      <c r="B196">
        <v>7113761124</v>
      </c>
      <c r="C196" t="s">
        <v>208</v>
      </c>
      <c r="D196" t="s">
        <v>514</v>
      </c>
      <c r="E196" s="5">
        <v>45486</v>
      </c>
      <c r="F196" t="s">
        <v>517</v>
      </c>
      <c r="G196">
        <v>7541.34</v>
      </c>
      <c r="H196">
        <v>354806.13</v>
      </c>
      <c r="I196">
        <v>11.09</v>
      </c>
      <c r="J196">
        <v>539186.68000000005</v>
      </c>
      <c r="K196">
        <v>6</v>
      </c>
      <c r="L196">
        <v>41356.71</v>
      </c>
      <c r="M196" t="s">
        <v>522</v>
      </c>
      <c r="N196">
        <v>18</v>
      </c>
    </row>
    <row r="197" spans="1:14" x14ac:dyDescent="0.3">
      <c r="A197">
        <v>100196</v>
      </c>
      <c r="B197">
        <v>3441776023</v>
      </c>
      <c r="C197" t="s">
        <v>209</v>
      </c>
      <c r="D197" t="s">
        <v>516</v>
      </c>
      <c r="E197" s="5">
        <v>45487</v>
      </c>
      <c r="F197" t="s">
        <v>517</v>
      </c>
      <c r="G197">
        <v>6508.55</v>
      </c>
      <c r="H197">
        <v>274942.25</v>
      </c>
      <c r="I197">
        <v>10.050000000000001</v>
      </c>
      <c r="J197">
        <v>203294.66</v>
      </c>
      <c r="K197">
        <v>19</v>
      </c>
      <c r="L197">
        <v>45040.61</v>
      </c>
      <c r="M197" t="s">
        <v>523</v>
      </c>
      <c r="N197">
        <v>18</v>
      </c>
    </row>
    <row r="198" spans="1:14" x14ac:dyDescent="0.3">
      <c r="A198">
        <v>100197</v>
      </c>
      <c r="B198">
        <v>4142403170</v>
      </c>
      <c r="C198" t="s">
        <v>210</v>
      </c>
      <c r="D198" t="s">
        <v>516</v>
      </c>
      <c r="E198" s="5">
        <v>45488</v>
      </c>
      <c r="F198" t="s">
        <v>518</v>
      </c>
      <c r="G198">
        <v>15512.12</v>
      </c>
      <c r="H198">
        <v>57301.89</v>
      </c>
      <c r="I198">
        <v>10.02</v>
      </c>
      <c r="J198">
        <v>129376.62</v>
      </c>
      <c r="K198">
        <v>6</v>
      </c>
      <c r="L198">
        <v>28102.49</v>
      </c>
      <c r="M198" t="s">
        <v>521</v>
      </c>
      <c r="N198">
        <v>18</v>
      </c>
    </row>
    <row r="199" spans="1:14" x14ac:dyDescent="0.3">
      <c r="A199">
        <v>100198</v>
      </c>
      <c r="B199">
        <v>6368779760</v>
      </c>
      <c r="C199" t="s">
        <v>211</v>
      </c>
      <c r="D199" t="s">
        <v>516</v>
      </c>
      <c r="E199" s="5">
        <v>45489</v>
      </c>
      <c r="F199" t="s">
        <v>518</v>
      </c>
      <c r="G199">
        <v>5501.77</v>
      </c>
      <c r="H199">
        <v>128527.98</v>
      </c>
      <c r="I199">
        <v>7.12</v>
      </c>
      <c r="J199">
        <v>68172.52</v>
      </c>
      <c r="K199">
        <v>2</v>
      </c>
      <c r="L199">
        <v>40800.65</v>
      </c>
      <c r="M199" t="s">
        <v>521</v>
      </c>
      <c r="N199">
        <v>18</v>
      </c>
    </row>
    <row r="200" spans="1:14" x14ac:dyDescent="0.3">
      <c r="A200">
        <v>100199</v>
      </c>
      <c r="B200">
        <v>7708166367</v>
      </c>
      <c r="C200" t="s">
        <v>212</v>
      </c>
      <c r="D200" t="s">
        <v>516</v>
      </c>
      <c r="E200" s="5">
        <v>45490</v>
      </c>
      <c r="F200" t="s">
        <v>518</v>
      </c>
      <c r="G200">
        <v>34761.99</v>
      </c>
      <c r="H200">
        <v>16077.98</v>
      </c>
      <c r="I200">
        <v>6.58</v>
      </c>
      <c r="J200">
        <v>207460.77</v>
      </c>
      <c r="K200">
        <v>6</v>
      </c>
      <c r="L200">
        <v>19818.09</v>
      </c>
      <c r="M200" t="s">
        <v>519</v>
      </c>
      <c r="N200">
        <v>18</v>
      </c>
    </row>
    <row r="201" spans="1:14" x14ac:dyDescent="0.3">
      <c r="A201">
        <v>100200</v>
      </c>
      <c r="B201">
        <v>2024765707</v>
      </c>
      <c r="C201" t="s">
        <v>213</v>
      </c>
      <c r="D201" t="s">
        <v>514</v>
      </c>
      <c r="E201" s="5">
        <v>45491</v>
      </c>
      <c r="F201" t="s">
        <v>517</v>
      </c>
      <c r="G201">
        <v>3583.44</v>
      </c>
      <c r="H201">
        <v>239696.3</v>
      </c>
      <c r="I201">
        <v>5.73</v>
      </c>
      <c r="J201">
        <v>896312.76</v>
      </c>
      <c r="K201">
        <v>5</v>
      </c>
      <c r="L201">
        <v>33647.129999999997</v>
      </c>
      <c r="M201" t="s">
        <v>522</v>
      </c>
      <c r="N201">
        <v>18</v>
      </c>
    </row>
    <row r="202" spans="1:14" x14ac:dyDescent="0.3">
      <c r="A202">
        <v>100201</v>
      </c>
      <c r="B202">
        <v>3919911094</v>
      </c>
      <c r="C202" t="s">
        <v>214</v>
      </c>
      <c r="D202" t="s">
        <v>515</v>
      </c>
      <c r="E202" s="5">
        <v>45492</v>
      </c>
      <c r="F202" t="s">
        <v>517</v>
      </c>
      <c r="G202">
        <v>25716.400000000001</v>
      </c>
      <c r="H202">
        <v>157619.98000000001</v>
      </c>
      <c r="I202">
        <v>3.59</v>
      </c>
      <c r="J202">
        <v>279460</v>
      </c>
      <c r="K202">
        <v>19</v>
      </c>
      <c r="L202">
        <v>49452.94</v>
      </c>
      <c r="M202" t="s">
        <v>522</v>
      </c>
      <c r="N202">
        <v>18</v>
      </c>
    </row>
    <row r="203" spans="1:14" x14ac:dyDescent="0.3">
      <c r="A203">
        <v>100202</v>
      </c>
      <c r="B203">
        <v>4177883926</v>
      </c>
      <c r="C203" t="s">
        <v>215</v>
      </c>
      <c r="D203" t="s">
        <v>516</v>
      </c>
      <c r="E203" s="5">
        <v>45493</v>
      </c>
      <c r="F203" t="s">
        <v>518</v>
      </c>
      <c r="G203">
        <v>49836.49</v>
      </c>
      <c r="H203">
        <v>303195.17</v>
      </c>
      <c r="I203">
        <v>5.05</v>
      </c>
      <c r="J203">
        <v>386557.76</v>
      </c>
      <c r="K203">
        <v>4</v>
      </c>
      <c r="L203">
        <v>12060.66</v>
      </c>
      <c r="M203" t="s">
        <v>520</v>
      </c>
      <c r="N203">
        <v>18</v>
      </c>
    </row>
    <row r="204" spans="1:14" x14ac:dyDescent="0.3">
      <c r="A204">
        <v>100203</v>
      </c>
      <c r="B204">
        <v>2023216482</v>
      </c>
      <c r="C204" t="s">
        <v>216</v>
      </c>
      <c r="D204" t="s">
        <v>515</v>
      </c>
      <c r="E204" s="5">
        <v>45494</v>
      </c>
      <c r="F204" t="s">
        <v>518</v>
      </c>
      <c r="G204">
        <v>40791.53</v>
      </c>
      <c r="H204">
        <v>155646.53</v>
      </c>
      <c r="I204">
        <v>5.22</v>
      </c>
      <c r="J204">
        <v>150078.21</v>
      </c>
      <c r="K204">
        <v>17</v>
      </c>
      <c r="L204">
        <v>20105.09</v>
      </c>
      <c r="M204" t="s">
        <v>523</v>
      </c>
      <c r="N204">
        <v>18</v>
      </c>
    </row>
    <row r="205" spans="1:14" x14ac:dyDescent="0.3">
      <c r="A205">
        <v>100204</v>
      </c>
      <c r="B205">
        <v>2622333213</v>
      </c>
      <c r="C205" t="s">
        <v>217</v>
      </c>
      <c r="D205" t="s">
        <v>516</v>
      </c>
      <c r="E205" s="5">
        <v>45495</v>
      </c>
      <c r="F205" t="s">
        <v>517</v>
      </c>
      <c r="G205">
        <v>30953.360000000001</v>
      </c>
      <c r="H205">
        <v>156960.35999999999</v>
      </c>
      <c r="I205">
        <v>7.36</v>
      </c>
      <c r="J205">
        <v>261243.24</v>
      </c>
      <c r="K205">
        <v>11</v>
      </c>
      <c r="L205">
        <v>24522.32</v>
      </c>
      <c r="M205" t="s">
        <v>522</v>
      </c>
      <c r="N205">
        <v>18</v>
      </c>
    </row>
    <row r="206" spans="1:14" x14ac:dyDescent="0.3">
      <c r="A206">
        <v>100205</v>
      </c>
      <c r="B206">
        <v>3294919024</v>
      </c>
      <c r="C206" t="s">
        <v>218</v>
      </c>
      <c r="D206" t="s">
        <v>516</v>
      </c>
      <c r="E206" s="5">
        <v>45496</v>
      </c>
      <c r="F206" t="s">
        <v>517</v>
      </c>
      <c r="G206">
        <v>15659.55</v>
      </c>
      <c r="H206">
        <v>374164.67</v>
      </c>
      <c r="I206">
        <v>9.73</v>
      </c>
      <c r="J206">
        <v>543263.34</v>
      </c>
      <c r="K206">
        <v>4</v>
      </c>
      <c r="L206">
        <v>7762.76</v>
      </c>
      <c r="M206" t="s">
        <v>521</v>
      </c>
      <c r="N206">
        <v>18</v>
      </c>
    </row>
    <row r="207" spans="1:14" x14ac:dyDescent="0.3">
      <c r="A207">
        <v>100206</v>
      </c>
      <c r="B207">
        <v>7427681363</v>
      </c>
      <c r="C207" t="s">
        <v>219</v>
      </c>
      <c r="D207" t="s">
        <v>515</v>
      </c>
      <c r="E207" s="5">
        <v>45497</v>
      </c>
      <c r="F207" t="s">
        <v>518</v>
      </c>
      <c r="G207">
        <v>31382.84</v>
      </c>
      <c r="H207">
        <v>33589.99</v>
      </c>
      <c r="I207">
        <v>7.26</v>
      </c>
      <c r="J207">
        <v>627365.05000000005</v>
      </c>
      <c r="K207">
        <v>13</v>
      </c>
      <c r="L207">
        <v>4970.8900000000003</v>
      </c>
      <c r="M207" t="s">
        <v>523</v>
      </c>
      <c r="N207">
        <v>18</v>
      </c>
    </row>
    <row r="208" spans="1:14" x14ac:dyDescent="0.3">
      <c r="A208">
        <v>100207</v>
      </c>
      <c r="B208">
        <v>6573300620</v>
      </c>
      <c r="C208" t="s">
        <v>220</v>
      </c>
      <c r="D208" t="s">
        <v>514</v>
      </c>
      <c r="E208" s="5">
        <v>45498</v>
      </c>
      <c r="F208" t="s">
        <v>518</v>
      </c>
      <c r="G208">
        <v>26588.55</v>
      </c>
      <c r="H208">
        <v>452418.55</v>
      </c>
      <c r="I208">
        <v>3.52</v>
      </c>
      <c r="J208">
        <v>283084.7</v>
      </c>
      <c r="K208">
        <v>17</v>
      </c>
      <c r="L208">
        <v>41656.42</v>
      </c>
      <c r="M208" t="s">
        <v>523</v>
      </c>
      <c r="N208">
        <v>18</v>
      </c>
    </row>
    <row r="209" spans="1:14" x14ac:dyDescent="0.3">
      <c r="A209">
        <v>100208</v>
      </c>
      <c r="B209">
        <v>1229717603</v>
      </c>
      <c r="C209" t="s">
        <v>221</v>
      </c>
      <c r="D209" t="s">
        <v>516</v>
      </c>
      <c r="E209" s="5">
        <v>45499</v>
      </c>
      <c r="F209" t="s">
        <v>517</v>
      </c>
      <c r="G209">
        <v>21591.13</v>
      </c>
      <c r="H209">
        <v>427609.3</v>
      </c>
      <c r="I209">
        <v>11.62</v>
      </c>
      <c r="J209">
        <v>104845.55</v>
      </c>
      <c r="K209">
        <v>9</v>
      </c>
      <c r="L209">
        <v>48862.92</v>
      </c>
      <c r="M209" t="s">
        <v>519</v>
      </c>
      <c r="N209">
        <v>18</v>
      </c>
    </row>
    <row r="210" spans="1:14" x14ac:dyDescent="0.3">
      <c r="A210">
        <v>100209</v>
      </c>
      <c r="B210">
        <v>4638452114</v>
      </c>
      <c r="C210" t="s">
        <v>222</v>
      </c>
      <c r="D210" t="s">
        <v>516</v>
      </c>
      <c r="E210" s="5">
        <v>45500</v>
      </c>
      <c r="F210" t="s">
        <v>518</v>
      </c>
      <c r="G210">
        <v>6970.16</v>
      </c>
      <c r="H210">
        <v>337224.29</v>
      </c>
      <c r="I210">
        <v>11.48</v>
      </c>
      <c r="J210">
        <v>421481.23</v>
      </c>
      <c r="K210">
        <v>4</v>
      </c>
      <c r="L210">
        <v>20831.53</v>
      </c>
      <c r="M210" t="s">
        <v>522</v>
      </c>
      <c r="N210">
        <v>18</v>
      </c>
    </row>
    <row r="211" spans="1:14" x14ac:dyDescent="0.3">
      <c r="A211">
        <v>100210</v>
      </c>
      <c r="B211">
        <v>8201671902</v>
      </c>
      <c r="C211" t="s">
        <v>223</v>
      </c>
      <c r="D211" t="s">
        <v>516</v>
      </c>
      <c r="E211" s="5">
        <v>45501</v>
      </c>
      <c r="F211" t="s">
        <v>517</v>
      </c>
      <c r="G211">
        <v>44386.91</v>
      </c>
      <c r="H211">
        <v>300678.57</v>
      </c>
      <c r="I211">
        <v>10.07</v>
      </c>
      <c r="J211">
        <v>272493.2</v>
      </c>
      <c r="K211">
        <v>14</v>
      </c>
      <c r="L211">
        <v>5294.84</v>
      </c>
      <c r="M211" t="s">
        <v>519</v>
      </c>
      <c r="N211">
        <v>18</v>
      </c>
    </row>
    <row r="212" spans="1:14" x14ac:dyDescent="0.3">
      <c r="A212">
        <v>100211</v>
      </c>
      <c r="B212">
        <v>9947638415</v>
      </c>
      <c r="C212" t="s">
        <v>224</v>
      </c>
      <c r="D212" t="s">
        <v>515</v>
      </c>
      <c r="E212" s="5">
        <v>45502</v>
      </c>
      <c r="F212" t="s">
        <v>517</v>
      </c>
      <c r="G212">
        <v>22764.34</v>
      </c>
      <c r="H212">
        <v>447228.22</v>
      </c>
      <c r="I212">
        <v>11.92</v>
      </c>
      <c r="J212">
        <v>258576.23</v>
      </c>
      <c r="K212">
        <v>19</v>
      </c>
      <c r="L212">
        <v>4224.78</v>
      </c>
      <c r="M212" t="s">
        <v>522</v>
      </c>
      <c r="N212">
        <v>18</v>
      </c>
    </row>
    <row r="213" spans="1:14" x14ac:dyDescent="0.3">
      <c r="A213">
        <v>100212</v>
      </c>
      <c r="B213">
        <v>1393866308</v>
      </c>
      <c r="C213" t="s">
        <v>225</v>
      </c>
      <c r="D213" t="s">
        <v>514</v>
      </c>
      <c r="E213" s="5">
        <v>45503</v>
      </c>
      <c r="F213" t="s">
        <v>517</v>
      </c>
      <c r="G213">
        <v>10133.81</v>
      </c>
      <c r="H213">
        <v>100811.79</v>
      </c>
      <c r="I213">
        <v>7.9</v>
      </c>
      <c r="J213">
        <v>961869.66</v>
      </c>
      <c r="K213">
        <v>3</v>
      </c>
      <c r="L213">
        <v>44674.59</v>
      </c>
      <c r="M213" t="s">
        <v>520</v>
      </c>
      <c r="N213">
        <v>18</v>
      </c>
    </row>
    <row r="214" spans="1:14" x14ac:dyDescent="0.3">
      <c r="A214">
        <v>100213</v>
      </c>
      <c r="B214">
        <v>3378136499</v>
      </c>
      <c r="C214" t="s">
        <v>226</v>
      </c>
      <c r="D214" t="s">
        <v>515</v>
      </c>
      <c r="E214" s="5">
        <v>45504</v>
      </c>
      <c r="F214" t="s">
        <v>517</v>
      </c>
      <c r="G214">
        <v>18704.09</v>
      </c>
      <c r="H214">
        <v>48694.89</v>
      </c>
      <c r="I214">
        <v>11.66</v>
      </c>
      <c r="J214">
        <v>635485.46</v>
      </c>
      <c r="K214">
        <v>14</v>
      </c>
      <c r="L214">
        <v>23726.9</v>
      </c>
      <c r="M214" t="s">
        <v>519</v>
      </c>
      <c r="N214">
        <v>18</v>
      </c>
    </row>
    <row r="215" spans="1:14" x14ac:dyDescent="0.3">
      <c r="A215">
        <v>100214</v>
      </c>
      <c r="B215">
        <v>1487326758</v>
      </c>
      <c r="C215" t="s">
        <v>227</v>
      </c>
      <c r="D215" t="s">
        <v>515</v>
      </c>
      <c r="E215" s="5">
        <v>45505</v>
      </c>
      <c r="F215" t="s">
        <v>518</v>
      </c>
      <c r="G215">
        <v>20999.42</v>
      </c>
      <c r="H215">
        <v>127359.98</v>
      </c>
      <c r="I215">
        <v>3.68</v>
      </c>
      <c r="J215">
        <v>579034.52</v>
      </c>
      <c r="K215">
        <v>8</v>
      </c>
      <c r="L215">
        <v>16681.34</v>
      </c>
      <c r="M215" t="s">
        <v>519</v>
      </c>
      <c r="N215">
        <v>18</v>
      </c>
    </row>
    <row r="216" spans="1:14" x14ac:dyDescent="0.3">
      <c r="A216">
        <v>100215</v>
      </c>
      <c r="B216">
        <v>4998310068</v>
      </c>
      <c r="C216" t="s">
        <v>228</v>
      </c>
      <c r="D216" t="s">
        <v>514</v>
      </c>
      <c r="E216" s="5">
        <v>45506</v>
      </c>
      <c r="F216" t="s">
        <v>518</v>
      </c>
      <c r="G216">
        <v>41463.129999999997</v>
      </c>
      <c r="H216">
        <v>399343.35999999999</v>
      </c>
      <c r="I216">
        <v>6.29</v>
      </c>
      <c r="J216">
        <v>444986.35</v>
      </c>
      <c r="K216">
        <v>1</v>
      </c>
      <c r="L216">
        <v>24346.6</v>
      </c>
      <c r="M216" t="s">
        <v>521</v>
      </c>
      <c r="N216">
        <v>18</v>
      </c>
    </row>
    <row r="217" spans="1:14" x14ac:dyDescent="0.3">
      <c r="A217">
        <v>100216</v>
      </c>
      <c r="B217">
        <v>9479331513</v>
      </c>
      <c r="C217" t="s">
        <v>229</v>
      </c>
      <c r="D217" t="s">
        <v>515</v>
      </c>
      <c r="E217" s="5">
        <v>45507</v>
      </c>
      <c r="F217" t="s">
        <v>517</v>
      </c>
      <c r="G217">
        <v>36813.910000000003</v>
      </c>
      <c r="H217">
        <v>26988.43</v>
      </c>
      <c r="I217">
        <v>5.03</v>
      </c>
      <c r="J217">
        <v>457497.12</v>
      </c>
      <c r="K217">
        <v>10</v>
      </c>
      <c r="L217">
        <v>16596.900000000001</v>
      </c>
      <c r="M217" t="s">
        <v>519</v>
      </c>
      <c r="N217">
        <v>18</v>
      </c>
    </row>
    <row r="218" spans="1:14" x14ac:dyDescent="0.3">
      <c r="A218">
        <v>100217</v>
      </c>
      <c r="B218">
        <v>9829899385</v>
      </c>
      <c r="C218" t="s">
        <v>230</v>
      </c>
      <c r="D218" t="s">
        <v>514</v>
      </c>
      <c r="E218" s="5">
        <v>45508</v>
      </c>
      <c r="F218" t="s">
        <v>517</v>
      </c>
      <c r="G218">
        <v>38580.589999999997</v>
      </c>
      <c r="H218">
        <v>295575.34999999998</v>
      </c>
      <c r="I218">
        <v>4.76</v>
      </c>
      <c r="J218">
        <v>563859.75</v>
      </c>
      <c r="K218">
        <v>18</v>
      </c>
      <c r="L218">
        <v>24962.75</v>
      </c>
      <c r="M218" t="s">
        <v>522</v>
      </c>
      <c r="N218">
        <v>18</v>
      </c>
    </row>
    <row r="219" spans="1:14" x14ac:dyDescent="0.3">
      <c r="A219">
        <v>100218</v>
      </c>
      <c r="B219">
        <v>4165543586</v>
      </c>
      <c r="C219" t="s">
        <v>231</v>
      </c>
      <c r="D219" t="s">
        <v>516</v>
      </c>
      <c r="E219" s="5">
        <v>45509</v>
      </c>
      <c r="F219" t="s">
        <v>517</v>
      </c>
      <c r="G219">
        <v>1046.05</v>
      </c>
      <c r="H219">
        <v>497764.38</v>
      </c>
      <c r="I219">
        <v>4.2699999999999996</v>
      </c>
      <c r="J219">
        <v>711608.31999999995</v>
      </c>
      <c r="K219">
        <v>16</v>
      </c>
      <c r="L219">
        <v>43118.26</v>
      </c>
      <c r="M219" t="s">
        <v>521</v>
      </c>
      <c r="N219">
        <v>18</v>
      </c>
    </row>
    <row r="220" spans="1:14" x14ac:dyDescent="0.3">
      <c r="A220">
        <v>100219</v>
      </c>
      <c r="B220">
        <v>9455295726</v>
      </c>
      <c r="C220" t="s">
        <v>232</v>
      </c>
      <c r="D220" t="s">
        <v>514</v>
      </c>
      <c r="E220" s="5">
        <v>45510</v>
      </c>
      <c r="F220" t="s">
        <v>517</v>
      </c>
      <c r="G220">
        <v>21099.62</v>
      </c>
      <c r="H220">
        <v>429291.09</v>
      </c>
      <c r="I220">
        <v>8.6</v>
      </c>
      <c r="J220">
        <v>717038.79</v>
      </c>
      <c r="K220">
        <v>8</v>
      </c>
      <c r="L220">
        <v>30022.77</v>
      </c>
      <c r="M220" t="s">
        <v>519</v>
      </c>
      <c r="N220">
        <v>18</v>
      </c>
    </row>
    <row r="221" spans="1:14" x14ac:dyDescent="0.3">
      <c r="A221">
        <v>100220</v>
      </c>
      <c r="B221">
        <v>8889699769</v>
      </c>
      <c r="C221" t="s">
        <v>233</v>
      </c>
      <c r="D221" t="s">
        <v>516</v>
      </c>
      <c r="E221" s="5">
        <v>45511</v>
      </c>
      <c r="F221" t="s">
        <v>517</v>
      </c>
      <c r="G221">
        <v>24326.54</v>
      </c>
      <c r="H221">
        <v>265508.39</v>
      </c>
      <c r="I221">
        <v>10.029999999999999</v>
      </c>
      <c r="J221">
        <v>213109.21</v>
      </c>
      <c r="K221">
        <v>1</v>
      </c>
      <c r="L221">
        <v>35038.03</v>
      </c>
      <c r="M221" t="s">
        <v>519</v>
      </c>
      <c r="N221">
        <v>18</v>
      </c>
    </row>
    <row r="222" spans="1:14" x14ac:dyDescent="0.3">
      <c r="A222">
        <v>100221</v>
      </c>
      <c r="B222">
        <v>4601247461</v>
      </c>
      <c r="C222" t="s">
        <v>234</v>
      </c>
      <c r="D222" t="s">
        <v>515</v>
      </c>
      <c r="E222" s="5">
        <v>45512</v>
      </c>
      <c r="F222" t="s">
        <v>518</v>
      </c>
      <c r="G222">
        <v>1450.02</v>
      </c>
      <c r="H222">
        <v>41184.050000000003</v>
      </c>
      <c r="I222">
        <v>8.1999999999999993</v>
      </c>
      <c r="J222">
        <v>525107.11</v>
      </c>
      <c r="K222">
        <v>12</v>
      </c>
      <c r="L222">
        <v>18868.86</v>
      </c>
      <c r="M222" t="s">
        <v>520</v>
      </c>
      <c r="N222">
        <v>18</v>
      </c>
    </row>
    <row r="223" spans="1:14" x14ac:dyDescent="0.3">
      <c r="A223">
        <v>100222</v>
      </c>
      <c r="B223">
        <v>1955958439</v>
      </c>
      <c r="C223" t="s">
        <v>235</v>
      </c>
      <c r="D223" t="s">
        <v>515</v>
      </c>
      <c r="E223" s="5">
        <v>45513</v>
      </c>
      <c r="F223" t="s">
        <v>518</v>
      </c>
      <c r="G223">
        <v>13360.75</v>
      </c>
      <c r="H223">
        <v>417373.02</v>
      </c>
      <c r="I223">
        <v>4.32</v>
      </c>
      <c r="J223">
        <v>441360.19</v>
      </c>
      <c r="K223">
        <v>8</v>
      </c>
      <c r="L223">
        <v>37186.79</v>
      </c>
      <c r="M223" t="s">
        <v>519</v>
      </c>
      <c r="N223">
        <v>18</v>
      </c>
    </row>
    <row r="224" spans="1:14" x14ac:dyDescent="0.3">
      <c r="A224">
        <v>100223</v>
      </c>
      <c r="B224">
        <v>6998572936</v>
      </c>
      <c r="C224" t="s">
        <v>236</v>
      </c>
      <c r="D224" t="s">
        <v>516</v>
      </c>
      <c r="E224" s="5">
        <v>45514</v>
      </c>
      <c r="F224" t="s">
        <v>518</v>
      </c>
      <c r="G224">
        <v>38134.35</v>
      </c>
      <c r="H224">
        <v>303499.46999999997</v>
      </c>
      <c r="I224">
        <v>10.3</v>
      </c>
      <c r="J224">
        <v>877000.62</v>
      </c>
      <c r="K224">
        <v>16</v>
      </c>
      <c r="L224">
        <v>33664.239999999998</v>
      </c>
      <c r="M224" t="s">
        <v>523</v>
      </c>
      <c r="N224">
        <v>18</v>
      </c>
    </row>
    <row r="225" spans="1:14" x14ac:dyDescent="0.3">
      <c r="A225">
        <v>100224</v>
      </c>
      <c r="B225">
        <v>9125635354</v>
      </c>
      <c r="C225" t="s">
        <v>237</v>
      </c>
      <c r="D225" t="s">
        <v>515</v>
      </c>
      <c r="E225" s="5">
        <v>45515</v>
      </c>
      <c r="F225" t="s">
        <v>518</v>
      </c>
      <c r="G225">
        <v>7286.93</v>
      </c>
      <c r="H225">
        <v>66317.17</v>
      </c>
      <c r="I225">
        <v>8.7200000000000006</v>
      </c>
      <c r="J225">
        <v>649847.98</v>
      </c>
      <c r="K225">
        <v>18</v>
      </c>
      <c r="L225">
        <v>6858.54</v>
      </c>
      <c r="M225" t="s">
        <v>521</v>
      </c>
      <c r="N225">
        <v>18</v>
      </c>
    </row>
    <row r="226" spans="1:14" x14ac:dyDescent="0.3">
      <c r="A226">
        <v>100225</v>
      </c>
      <c r="B226">
        <v>5924630209</v>
      </c>
      <c r="C226" t="s">
        <v>238</v>
      </c>
      <c r="D226" t="s">
        <v>514</v>
      </c>
      <c r="E226" s="5">
        <v>45516</v>
      </c>
      <c r="F226" t="s">
        <v>517</v>
      </c>
      <c r="G226">
        <v>26997.85</v>
      </c>
      <c r="H226">
        <v>55990.07</v>
      </c>
      <c r="I226">
        <v>6.49</v>
      </c>
      <c r="J226">
        <v>555878.86</v>
      </c>
      <c r="K226">
        <v>4</v>
      </c>
      <c r="L226">
        <v>29059.5</v>
      </c>
      <c r="M226" t="s">
        <v>523</v>
      </c>
      <c r="N226">
        <v>18</v>
      </c>
    </row>
    <row r="227" spans="1:14" x14ac:dyDescent="0.3">
      <c r="A227">
        <v>100226</v>
      </c>
      <c r="B227">
        <v>3204719132</v>
      </c>
      <c r="C227" t="s">
        <v>239</v>
      </c>
      <c r="D227" t="s">
        <v>516</v>
      </c>
      <c r="E227" s="5">
        <v>45517</v>
      </c>
      <c r="F227" t="s">
        <v>517</v>
      </c>
      <c r="G227">
        <v>11152.49</v>
      </c>
      <c r="H227">
        <v>455717.14</v>
      </c>
      <c r="I227">
        <v>9.07</v>
      </c>
      <c r="J227">
        <v>159624.91</v>
      </c>
      <c r="K227">
        <v>6</v>
      </c>
      <c r="L227">
        <v>13580.43</v>
      </c>
      <c r="M227" t="s">
        <v>521</v>
      </c>
      <c r="N227">
        <v>18</v>
      </c>
    </row>
    <row r="228" spans="1:14" x14ac:dyDescent="0.3">
      <c r="A228">
        <v>100227</v>
      </c>
      <c r="B228">
        <v>2001706917</v>
      </c>
      <c r="C228" t="s">
        <v>240</v>
      </c>
      <c r="D228" t="s">
        <v>515</v>
      </c>
      <c r="E228" s="5">
        <v>45518</v>
      </c>
      <c r="F228" t="s">
        <v>517</v>
      </c>
      <c r="G228">
        <v>1099.98</v>
      </c>
      <c r="H228">
        <v>337908.13</v>
      </c>
      <c r="I228">
        <v>5.34</v>
      </c>
      <c r="J228">
        <v>625355.99</v>
      </c>
      <c r="K228">
        <v>12</v>
      </c>
      <c r="L228">
        <v>40400.69</v>
      </c>
      <c r="M228" t="s">
        <v>520</v>
      </c>
      <c r="N228">
        <v>18</v>
      </c>
    </row>
    <row r="229" spans="1:14" x14ac:dyDescent="0.3">
      <c r="A229">
        <v>100228</v>
      </c>
      <c r="B229">
        <v>4781117269</v>
      </c>
      <c r="C229" t="s">
        <v>241</v>
      </c>
      <c r="D229" t="s">
        <v>516</v>
      </c>
      <c r="E229" s="5">
        <v>45519</v>
      </c>
      <c r="F229" t="s">
        <v>517</v>
      </c>
      <c r="G229">
        <v>12439.47</v>
      </c>
      <c r="H229">
        <v>416350.53</v>
      </c>
      <c r="I229">
        <v>6.11</v>
      </c>
      <c r="J229">
        <v>161343.71</v>
      </c>
      <c r="K229">
        <v>9</v>
      </c>
      <c r="L229">
        <v>21870.95</v>
      </c>
      <c r="M229" t="s">
        <v>519</v>
      </c>
      <c r="N229">
        <v>18</v>
      </c>
    </row>
    <row r="230" spans="1:14" x14ac:dyDescent="0.3">
      <c r="A230">
        <v>100229</v>
      </c>
      <c r="B230">
        <v>3542142764</v>
      </c>
      <c r="C230" t="s">
        <v>242</v>
      </c>
      <c r="D230" t="s">
        <v>514</v>
      </c>
      <c r="E230" s="5">
        <v>45520</v>
      </c>
      <c r="F230" t="s">
        <v>517</v>
      </c>
      <c r="G230">
        <v>48805.75</v>
      </c>
      <c r="H230">
        <v>440699.66</v>
      </c>
      <c r="I230">
        <v>11.26</v>
      </c>
      <c r="J230">
        <v>370346.25</v>
      </c>
      <c r="K230">
        <v>15</v>
      </c>
      <c r="L230">
        <v>49739.519999999997</v>
      </c>
      <c r="M230" t="s">
        <v>519</v>
      </c>
      <c r="N230">
        <v>18</v>
      </c>
    </row>
    <row r="231" spans="1:14" x14ac:dyDescent="0.3">
      <c r="A231">
        <v>100230</v>
      </c>
      <c r="B231">
        <v>8336582395</v>
      </c>
      <c r="C231" t="s">
        <v>243</v>
      </c>
      <c r="D231" t="s">
        <v>514</v>
      </c>
      <c r="E231" s="5">
        <v>45521</v>
      </c>
      <c r="F231" t="s">
        <v>518</v>
      </c>
      <c r="G231">
        <v>40176.089999999997</v>
      </c>
      <c r="H231">
        <v>290168.45</v>
      </c>
      <c r="I231">
        <v>5.61</v>
      </c>
      <c r="J231">
        <v>185699.87</v>
      </c>
      <c r="K231">
        <v>16</v>
      </c>
      <c r="L231">
        <v>5532.52</v>
      </c>
      <c r="M231" t="s">
        <v>519</v>
      </c>
      <c r="N231">
        <v>18</v>
      </c>
    </row>
    <row r="232" spans="1:14" x14ac:dyDescent="0.3">
      <c r="A232">
        <v>100231</v>
      </c>
      <c r="B232">
        <v>2623444331</v>
      </c>
      <c r="C232" t="s">
        <v>244</v>
      </c>
      <c r="D232" t="s">
        <v>515</v>
      </c>
      <c r="E232" s="5">
        <v>45522</v>
      </c>
      <c r="F232" t="s">
        <v>517</v>
      </c>
      <c r="G232">
        <v>47999.040000000001</v>
      </c>
      <c r="H232">
        <v>263548.71000000002</v>
      </c>
      <c r="I232">
        <v>7.23</v>
      </c>
      <c r="J232">
        <v>707469.96</v>
      </c>
      <c r="K232">
        <v>12</v>
      </c>
      <c r="L232">
        <v>39237.050000000003</v>
      </c>
      <c r="M232" t="s">
        <v>521</v>
      </c>
      <c r="N232">
        <v>18</v>
      </c>
    </row>
    <row r="233" spans="1:14" x14ac:dyDescent="0.3">
      <c r="A233">
        <v>100232</v>
      </c>
      <c r="B233">
        <v>8323281574</v>
      </c>
      <c r="C233" t="s">
        <v>245</v>
      </c>
      <c r="D233" t="s">
        <v>514</v>
      </c>
      <c r="E233" s="5">
        <v>45523</v>
      </c>
      <c r="F233" t="s">
        <v>518</v>
      </c>
      <c r="G233">
        <v>24648.78</v>
      </c>
      <c r="H233">
        <v>220909.43</v>
      </c>
      <c r="I233">
        <v>11.01</v>
      </c>
      <c r="J233">
        <v>245939.51</v>
      </c>
      <c r="K233">
        <v>14</v>
      </c>
      <c r="L233">
        <v>34011.379999999997</v>
      </c>
      <c r="M233" t="s">
        <v>519</v>
      </c>
      <c r="N233">
        <v>18</v>
      </c>
    </row>
    <row r="234" spans="1:14" x14ac:dyDescent="0.3">
      <c r="A234">
        <v>100233</v>
      </c>
      <c r="B234">
        <v>6713391122</v>
      </c>
      <c r="C234" t="s">
        <v>246</v>
      </c>
      <c r="D234" t="s">
        <v>516</v>
      </c>
      <c r="E234" s="5">
        <v>45524</v>
      </c>
      <c r="F234" t="s">
        <v>518</v>
      </c>
      <c r="G234">
        <v>5931.94</v>
      </c>
      <c r="H234">
        <v>165303.82999999999</v>
      </c>
      <c r="I234">
        <v>9.3699999999999992</v>
      </c>
      <c r="J234">
        <v>422266.4</v>
      </c>
      <c r="K234">
        <v>13</v>
      </c>
      <c r="L234">
        <v>38607.440000000002</v>
      </c>
      <c r="M234" t="s">
        <v>523</v>
      </c>
      <c r="N234">
        <v>18</v>
      </c>
    </row>
    <row r="235" spans="1:14" x14ac:dyDescent="0.3">
      <c r="A235">
        <v>100234</v>
      </c>
      <c r="B235">
        <v>2740329713</v>
      </c>
      <c r="C235" t="s">
        <v>247</v>
      </c>
      <c r="D235" t="s">
        <v>514</v>
      </c>
      <c r="E235" s="5">
        <v>45525</v>
      </c>
      <c r="F235" t="s">
        <v>518</v>
      </c>
      <c r="G235">
        <v>27623.99</v>
      </c>
      <c r="H235">
        <v>222952.02</v>
      </c>
      <c r="I235">
        <v>3.56</v>
      </c>
      <c r="J235">
        <v>900891.04</v>
      </c>
      <c r="K235">
        <v>2</v>
      </c>
      <c r="L235">
        <v>16068.96</v>
      </c>
      <c r="M235" t="s">
        <v>519</v>
      </c>
      <c r="N235">
        <v>18</v>
      </c>
    </row>
    <row r="236" spans="1:14" x14ac:dyDescent="0.3">
      <c r="A236">
        <v>100235</v>
      </c>
      <c r="B236">
        <v>8477425811</v>
      </c>
      <c r="C236" t="s">
        <v>248</v>
      </c>
      <c r="D236" t="s">
        <v>516</v>
      </c>
      <c r="E236" s="5">
        <v>45526</v>
      </c>
      <c r="F236" t="s">
        <v>518</v>
      </c>
      <c r="G236">
        <v>22991.68</v>
      </c>
      <c r="H236">
        <v>389201.03</v>
      </c>
      <c r="I236">
        <v>4.33</v>
      </c>
      <c r="J236">
        <v>244100.56</v>
      </c>
      <c r="K236">
        <v>3</v>
      </c>
      <c r="L236">
        <v>25110.67</v>
      </c>
      <c r="M236" t="s">
        <v>520</v>
      </c>
      <c r="N236">
        <v>18</v>
      </c>
    </row>
    <row r="237" spans="1:14" x14ac:dyDescent="0.3">
      <c r="A237">
        <v>100236</v>
      </c>
      <c r="B237">
        <v>4533857662</v>
      </c>
      <c r="C237" t="s">
        <v>249</v>
      </c>
      <c r="D237" t="s">
        <v>516</v>
      </c>
      <c r="E237" s="5">
        <v>45527</v>
      </c>
      <c r="F237" t="s">
        <v>517</v>
      </c>
      <c r="G237">
        <v>42295.68</v>
      </c>
      <c r="H237">
        <v>304942.48</v>
      </c>
      <c r="I237">
        <v>3.07</v>
      </c>
      <c r="J237">
        <v>532414.81000000006</v>
      </c>
      <c r="K237">
        <v>10</v>
      </c>
      <c r="L237">
        <v>40028.92</v>
      </c>
      <c r="M237" t="s">
        <v>523</v>
      </c>
      <c r="N237">
        <v>18</v>
      </c>
    </row>
    <row r="238" spans="1:14" x14ac:dyDescent="0.3">
      <c r="A238">
        <v>100237</v>
      </c>
      <c r="B238">
        <v>4196364710</v>
      </c>
      <c r="C238" t="s">
        <v>250</v>
      </c>
      <c r="D238" t="s">
        <v>514</v>
      </c>
      <c r="E238" s="5">
        <v>45528</v>
      </c>
      <c r="F238" t="s">
        <v>518</v>
      </c>
      <c r="G238">
        <v>5355.09</v>
      </c>
      <c r="H238">
        <v>447336.41</v>
      </c>
      <c r="I238">
        <v>8.68</v>
      </c>
      <c r="J238">
        <v>448308.08</v>
      </c>
      <c r="K238">
        <v>9</v>
      </c>
      <c r="L238">
        <v>12394.53</v>
      </c>
      <c r="M238" t="s">
        <v>519</v>
      </c>
      <c r="N238">
        <v>18</v>
      </c>
    </row>
    <row r="239" spans="1:14" x14ac:dyDescent="0.3">
      <c r="A239">
        <v>100238</v>
      </c>
      <c r="B239">
        <v>3925042050</v>
      </c>
      <c r="C239" t="s">
        <v>251</v>
      </c>
      <c r="D239" t="s">
        <v>515</v>
      </c>
      <c r="E239" s="5">
        <v>45529</v>
      </c>
      <c r="F239" t="s">
        <v>518</v>
      </c>
      <c r="G239">
        <v>24667.94</v>
      </c>
      <c r="H239">
        <v>227256.21</v>
      </c>
      <c r="I239">
        <v>7.03</v>
      </c>
      <c r="J239">
        <v>67217.84</v>
      </c>
      <c r="K239">
        <v>8</v>
      </c>
      <c r="L239">
        <v>12075.63</v>
      </c>
      <c r="M239" t="s">
        <v>519</v>
      </c>
      <c r="N239">
        <v>18</v>
      </c>
    </row>
    <row r="240" spans="1:14" x14ac:dyDescent="0.3">
      <c r="A240">
        <v>100239</v>
      </c>
      <c r="B240">
        <v>2020082523</v>
      </c>
      <c r="C240" t="s">
        <v>252</v>
      </c>
      <c r="D240" t="s">
        <v>514</v>
      </c>
      <c r="E240" s="5">
        <v>45530</v>
      </c>
      <c r="F240" t="s">
        <v>518</v>
      </c>
      <c r="G240">
        <v>7927.41</v>
      </c>
      <c r="H240">
        <v>307473.89</v>
      </c>
      <c r="I240">
        <v>4.21</v>
      </c>
      <c r="J240">
        <v>803120.21</v>
      </c>
      <c r="K240">
        <v>10</v>
      </c>
      <c r="L240">
        <v>28001.5</v>
      </c>
      <c r="M240" t="s">
        <v>522</v>
      </c>
      <c r="N240">
        <v>18</v>
      </c>
    </row>
    <row r="241" spans="1:14" x14ac:dyDescent="0.3">
      <c r="A241">
        <v>100240</v>
      </c>
      <c r="B241">
        <v>7013911544</v>
      </c>
      <c r="C241" t="s">
        <v>253</v>
      </c>
      <c r="D241" t="s">
        <v>516</v>
      </c>
      <c r="E241" s="5">
        <v>45531</v>
      </c>
      <c r="F241" t="s">
        <v>517</v>
      </c>
      <c r="G241">
        <v>16571.46</v>
      </c>
      <c r="H241">
        <v>319340.7</v>
      </c>
      <c r="I241">
        <v>11.62</v>
      </c>
      <c r="J241">
        <v>115593.61</v>
      </c>
      <c r="K241">
        <v>19</v>
      </c>
      <c r="L241">
        <v>26654.62</v>
      </c>
      <c r="M241" t="s">
        <v>521</v>
      </c>
      <c r="N241">
        <v>18</v>
      </c>
    </row>
    <row r="242" spans="1:14" x14ac:dyDescent="0.3">
      <c r="A242">
        <v>100241</v>
      </c>
      <c r="B242">
        <v>1356015512</v>
      </c>
      <c r="C242" t="s">
        <v>254</v>
      </c>
      <c r="D242" t="s">
        <v>516</v>
      </c>
      <c r="E242" s="5">
        <v>45532</v>
      </c>
      <c r="F242" t="s">
        <v>517</v>
      </c>
      <c r="G242">
        <v>36999.18</v>
      </c>
      <c r="H242">
        <v>299931.61</v>
      </c>
      <c r="I242">
        <v>7.77</v>
      </c>
      <c r="J242">
        <v>500542.27</v>
      </c>
      <c r="K242">
        <v>3</v>
      </c>
      <c r="L242">
        <v>14830.86</v>
      </c>
      <c r="M242" t="s">
        <v>523</v>
      </c>
      <c r="N242">
        <v>18</v>
      </c>
    </row>
    <row r="243" spans="1:14" x14ac:dyDescent="0.3">
      <c r="A243">
        <v>100242</v>
      </c>
      <c r="B243">
        <v>7169015412</v>
      </c>
      <c r="C243" t="s">
        <v>255</v>
      </c>
      <c r="D243" t="s">
        <v>514</v>
      </c>
      <c r="E243" s="5">
        <v>45533</v>
      </c>
      <c r="F243" t="s">
        <v>517</v>
      </c>
      <c r="G243">
        <v>24062.9</v>
      </c>
      <c r="H243">
        <v>354290.55</v>
      </c>
      <c r="I243">
        <v>5.18</v>
      </c>
      <c r="J243">
        <v>582644.38</v>
      </c>
      <c r="K243">
        <v>5</v>
      </c>
      <c r="L243">
        <v>15605.71</v>
      </c>
      <c r="M243" t="s">
        <v>522</v>
      </c>
      <c r="N243">
        <v>18</v>
      </c>
    </row>
    <row r="244" spans="1:14" x14ac:dyDescent="0.3">
      <c r="A244">
        <v>100243</v>
      </c>
      <c r="B244">
        <v>8740000313</v>
      </c>
      <c r="C244" t="s">
        <v>256</v>
      </c>
      <c r="D244" t="s">
        <v>515</v>
      </c>
      <c r="E244" s="5">
        <v>45534</v>
      </c>
      <c r="F244" t="s">
        <v>518</v>
      </c>
      <c r="G244">
        <v>19106.47</v>
      </c>
      <c r="H244">
        <v>126342.39999999999</v>
      </c>
      <c r="I244">
        <v>7.51</v>
      </c>
      <c r="J244">
        <v>647005.13</v>
      </c>
      <c r="K244">
        <v>3</v>
      </c>
      <c r="L244">
        <v>14614.41</v>
      </c>
      <c r="M244" t="s">
        <v>520</v>
      </c>
      <c r="N244">
        <v>18</v>
      </c>
    </row>
    <row r="245" spans="1:14" x14ac:dyDescent="0.3">
      <c r="A245">
        <v>100244</v>
      </c>
      <c r="B245">
        <v>2385927470</v>
      </c>
      <c r="C245" t="s">
        <v>257</v>
      </c>
      <c r="D245" t="s">
        <v>515</v>
      </c>
      <c r="E245" s="5">
        <v>45535</v>
      </c>
      <c r="F245" t="s">
        <v>518</v>
      </c>
      <c r="G245">
        <v>20026.580000000002</v>
      </c>
      <c r="H245">
        <v>261058.25</v>
      </c>
      <c r="I245">
        <v>9.1199999999999992</v>
      </c>
      <c r="J245">
        <v>704200.05</v>
      </c>
      <c r="K245">
        <v>16</v>
      </c>
      <c r="L245">
        <v>38804.089999999997</v>
      </c>
      <c r="M245" t="s">
        <v>521</v>
      </c>
      <c r="N245">
        <v>18</v>
      </c>
    </row>
    <row r="246" spans="1:14" x14ac:dyDescent="0.3">
      <c r="A246">
        <v>100245</v>
      </c>
      <c r="B246">
        <v>1186404943</v>
      </c>
      <c r="C246" t="s">
        <v>258</v>
      </c>
      <c r="D246" t="s">
        <v>516</v>
      </c>
      <c r="E246" s="5">
        <v>45536</v>
      </c>
      <c r="F246" t="s">
        <v>517</v>
      </c>
      <c r="G246">
        <v>23242.62</v>
      </c>
      <c r="H246">
        <v>61070.15</v>
      </c>
      <c r="I246">
        <v>3.69</v>
      </c>
      <c r="J246">
        <v>290608.76</v>
      </c>
      <c r="K246">
        <v>17</v>
      </c>
      <c r="L246">
        <v>32943.14</v>
      </c>
      <c r="M246" t="s">
        <v>523</v>
      </c>
      <c r="N246">
        <v>18</v>
      </c>
    </row>
    <row r="247" spans="1:14" x14ac:dyDescent="0.3">
      <c r="A247">
        <v>100246</v>
      </c>
      <c r="B247">
        <v>9266280148</v>
      </c>
      <c r="C247" t="s">
        <v>259</v>
      </c>
      <c r="D247" t="s">
        <v>516</v>
      </c>
      <c r="E247" s="5">
        <v>45537</v>
      </c>
      <c r="F247" t="s">
        <v>518</v>
      </c>
      <c r="G247">
        <v>39358.32</v>
      </c>
      <c r="H247">
        <v>198410.55</v>
      </c>
      <c r="I247">
        <v>5.47</v>
      </c>
      <c r="J247">
        <v>59479.839999999997</v>
      </c>
      <c r="K247">
        <v>15</v>
      </c>
      <c r="L247">
        <v>41788.44</v>
      </c>
      <c r="M247" t="s">
        <v>519</v>
      </c>
      <c r="N247">
        <v>18</v>
      </c>
    </row>
    <row r="248" spans="1:14" x14ac:dyDescent="0.3">
      <c r="A248">
        <v>100247</v>
      </c>
      <c r="B248">
        <v>2086584483</v>
      </c>
      <c r="C248" t="s">
        <v>260</v>
      </c>
      <c r="D248" t="s">
        <v>515</v>
      </c>
      <c r="E248" s="5">
        <v>45538</v>
      </c>
      <c r="F248" t="s">
        <v>517</v>
      </c>
      <c r="G248">
        <v>44658.19</v>
      </c>
      <c r="H248">
        <v>248956.86</v>
      </c>
      <c r="I248">
        <v>10.26</v>
      </c>
      <c r="J248">
        <v>737271.48</v>
      </c>
      <c r="K248">
        <v>3</v>
      </c>
      <c r="L248">
        <v>48798.18</v>
      </c>
      <c r="M248" t="s">
        <v>523</v>
      </c>
      <c r="N248">
        <v>18</v>
      </c>
    </row>
    <row r="249" spans="1:14" x14ac:dyDescent="0.3">
      <c r="A249">
        <v>100248</v>
      </c>
      <c r="B249">
        <v>6008857134</v>
      </c>
      <c r="C249" t="s">
        <v>261</v>
      </c>
      <c r="D249" t="s">
        <v>514</v>
      </c>
      <c r="E249" s="5">
        <v>45539</v>
      </c>
      <c r="F249" t="s">
        <v>517</v>
      </c>
      <c r="G249">
        <v>47789.07</v>
      </c>
      <c r="H249">
        <v>329589.89</v>
      </c>
      <c r="I249">
        <v>7.14</v>
      </c>
      <c r="J249">
        <v>558873.77</v>
      </c>
      <c r="K249">
        <v>12</v>
      </c>
      <c r="L249">
        <v>24234.05</v>
      </c>
      <c r="M249" t="s">
        <v>519</v>
      </c>
      <c r="N249">
        <v>18</v>
      </c>
    </row>
    <row r="250" spans="1:14" x14ac:dyDescent="0.3">
      <c r="A250">
        <v>100249</v>
      </c>
      <c r="B250">
        <v>1931188016</v>
      </c>
      <c r="C250" t="s">
        <v>262</v>
      </c>
      <c r="D250" t="s">
        <v>516</v>
      </c>
      <c r="E250" s="5">
        <v>45540</v>
      </c>
      <c r="F250" t="s">
        <v>518</v>
      </c>
      <c r="G250">
        <v>39451.72</v>
      </c>
      <c r="H250">
        <v>475760.22</v>
      </c>
      <c r="I250">
        <v>7.92</v>
      </c>
      <c r="J250">
        <v>844311.82</v>
      </c>
      <c r="K250">
        <v>9</v>
      </c>
      <c r="L250">
        <v>4268</v>
      </c>
      <c r="M250" t="s">
        <v>521</v>
      </c>
      <c r="N250">
        <v>18</v>
      </c>
    </row>
    <row r="251" spans="1:14" x14ac:dyDescent="0.3">
      <c r="A251">
        <v>100250</v>
      </c>
      <c r="B251">
        <v>6559809166</v>
      </c>
      <c r="C251" t="s">
        <v>263</v>
      </c>
      <c r="D251" t="s">
        <v>516</v>
      </c>
      <c r="E251" s="5">
        <v>45541</v>
      </c>
      <c r="F251" t="s">
        <v>518</v>
      </c>
      <c r="G251">
        <v>16112.64</v>
      </c>
      <c r="H251">
        <v>304319.02</v>
      </c>
      <c r="I251">
        <v>6.9</v>
      </c>
      <c r="J251">
        <v>830318.94</v>
      </c>
      <c r="K251">
        <v>12</v>
      </c>
      <c r="L251">
        <v>3356.52</v>
      </c>
      <c r="M251" t="s">
        <v>519</v>
      </c>
      <c r="N251">
        <v>18</v>
      </c>
    </row>
    <row r="252" spans="1:14" x14ac:dyDescent="0.3">
      <c r="A252">
        <v>100251</v>
      </c>
      <c r="B252">
        <v>3993270325</v>
      </c>
      <c r="C252" t="s">
        <v>264</v>
      </c>
      <c r="D252" t="s">
        <v>515</v>
      </c>
      <c r="E252" s="5">
        <v>45542</v>
      </c>
      <c r="F252" t="s">
        <v>518</v>
      </c>
      <c r="G252">
        <v>34562.67</v>
      </c>
      <c r="H252">
        <v>374361.02</v>
      </c>
      <c r="I252">
        <v>3.4</v>
      </c>
      <c r="J252">
        <v>851159.86</v>
      </c>
      <c r="K252">
        <v>15</v>
      </c>
      <c r="L252">
        <v>15487.59</v>
      </c>
      <c r="M252" t="s">
        <v>520</v>
      </c>
      <c r="N252">
        <v>18</v>
      </c>
    </row>
    <row r="253" spans="1:14" x14ac:dyDescent="0.3">
      <c r="A253">
        <v>100252</v>
      </c>
      <c r="B253">
        <v>6945101570</v>
      </c>
      <c r="C253" t="s">
        <v>265</v>
      </c>
      <c r="D253" t="s">
        <v>514</v>
      </c>
      <c r="E253" s="5">
        <v>45543</v>
      </c>
      <c r="F253" t="s">
        <v>518</v>
      </c>
      <c r="G253">
        <v>22161.35</v>
      </c>
      <c r="H253">
        <v>258070.37</v>
      </c>
      <c r="I253">
        <v>4.49</v>
      </c>
      <c r="J253">
        <v>510839.93</v>
      </c>
      <c r="K253">
        <v>2</v>
      </c>
      <c r="L253">
        <v>46694.68</v>
      </c>
      <c r="M253" t="s">
        <v>519</v>
      </c>
      <c r="N253">
        <v>18</v>
      </c>
    </row>
    <row r="254" spans="1:14" x14ac:dyDescent="0.3">
      <c r="A254">
        <v>100253</v>
      </c>
      <c r="B254">
        <v>4930987466</v>
      </c>
      <c r="C254" t="s">
        <v>266</v>
      </c>
      <c r="D254" t="s">
        <v>515</v>
      </c>
      <c r="E254" s="5">
        <v>45544</v>
      </c>
      <c r="F254" t="s">
        <v>517</v>
      </c>
      <c r="G254">
        <v>13106.2</v>
      </c>
      <c r="H254">
        <v>320710.98</v>
      </c>
      <c r="I254">
        <v>7.01</v>
      </c>
      <c r="J254">
        <v>366946.98</v>
      </c>
      <c r="K254">
        <v>18</v>
      </c>
      <c r="L254">
        <v>26637.439999999999</v>
      </c>
      <c r="M254" t="s">
        <v>520</v>
      </c>
      <c r="N254">
        <v>18</v>
      </c>
    </row>
    <row r="255" spans="1:14" x14ac:dyDescent="0.3">
      <c r="A255">
        <v>100254</v>
      </c>
      <c r="B255">
        <v>6962567303</v>
      </c>
      <c r="C255" t="s">
        <v>267</v>
      </c>
      <c r="D255" t="s">
        <v>514</v>
      </c>
      <c r="E255" s="5">
        <v>45545</v>
      </c>
      <c r="F255" t="s">
        <v>517</v>
      </c>
      <c r="G255">
        <v>42123.14</v>
      </c>
      <c r="H255">
        <v>44756.79</v>
      </c>
      <c r="I255">
        <v>4.88</v>
      </c>
      <c r="J255">
        <v>801980.29</v>
      </c>
      <c r="K255">
        <v>12</v>
      </c>
      <c r="L255">
        <v>14317.54</v>
      </c>
      <c r="M255" t="s">
        <v>521</v>
      </c>
      <c r="N255">
        <v>18</v>
      </c>
    </row>
    <row r="256" spans="1:14" x14ac:dyDescent="0.3">
      <c r="A256">
        <v>100255</v>
      </c>
      <c r="B256">
        <v>6280210235</v>
      </c>
      <c r="C256" t="s">
        <v>268</v>
      </c>
      <c r="D256" t="s">
        <v>514</v>
      </c>
      <c r="E256" s="5">
        <v>45546</v>
      </c>
      <c r="F256" t="s">
        <v>517</v>
      </c>
      <c r="G256">
        <v>2402.1</v>
      </c>
      <c r="H256">
        <v>134651.87</v>
      </c>
      <c r="I256">
        <v>3.45</v>
      </c>
      <c r="J256">
        <v>478729.41</v>
      </c>
      <c r="K256">
        <v>4</v>
      </c>
      <c r="L256">
        <v>20559.169999999998</v>
      </c>
      <c r="M256" t="s">
        <v>521</v>
      </c>
      <c r="N256">
        <v>18</v>
      </c>
    </row>
    <row r="257" spans="1:14" x14ac:dyDescent="0.3">
      <c r="A257">
        <v>100256</v>
      </c>
      <c r="B257">
        <v>6437162011</v>
      </c>
      <c r="C257" t="s">
        <v>269</v>
      </c>
      <c r="D257" t="s">
        <v>514</v>
      </c>
      <c r="E257" s="5">
        <v>45547</v>
      </c>
      <c r="F257" t="s">
        <v>517</v>
      </c>
      <c r="G257">
        <v>45137.22</v>
      </c>
      <c r="H257">
        <v>187308.02</v>
      </c>
      <c r="I257">
        <v>10.59</v>
      </c>
      <c r="J257">
        <v>224270.09</v>
      </c>
      <c r="K257">
        <v>16</v>
      </c>
      <c r="L257">
        <v>30331.16</v>
      </c>
      <c r="M257" t="s">
        <v>523</v>
      </c>
      <c r="N257">
        <v>18</v>
      </c>
    </row>
    <row r="258" spans="1:14" x14ac:dyDescent="0.3">
      <c r="A258">
        <v>100257</v>
      </c>
      <c r="B258">
        <v>2116476131</v>
      </c>
      <c r="C258" t="s">
        <v>270</v>
      </c>
      <c r="D258" t="s">
        <v>516</v>
      </c>
      <c r="E258" s="5">
        <v>45548</v>
      </c>
      <c r="F258" t="s">
        <v>517</v>
      </c>
      <c r="G258">
        <v>23343.13</v>
      </c>
      <c r="H258">
        <v>241521.74</v>
      </c>
      <c r="I258">
        <v>11.83</v>
      </c>
      <c r="J258">
        <v>862225.32</v>
      </c>
      <c r="K258">
        <v>16</v>
      </c>
      <c r="L258">
        <v>32994.53</v>
      </c>
      <c r="M258" t="s">
        <v>520</v>
      </c>
      <c r="N258">
        <v>18</v>
      </c>
    </row>
    <row r="259" spans="1:14" x14ac:dyDescent="0.3">
      <c r="A259">
        <v>100258</v>
      </c>
      <c r="B259">
        <v>5433763262</v>
      </c>
      <c r="C259" t="s">
        <v>271</v>
      </c>
      <c r="D259" t="s">
        <v>515</v>
      </c>
      <c r="E259" s="5">
        <v>45549</v>
      </c>
      <c r="F259" t="s">
        <v>518</v>
      </c>
      <c r="G259">
        <v>32041.47</v>
      </c>
      <c r="H259">
        <v>32367.89</v>
      </c>
      <c r="I259">
        <v>10.14</v>
      </c>
      <c r="J259">
        <v>888431.88</v>
      </c>
      <c r="K259">
        <v>1</v>
      </c>
      <c r="L259">
        <v>8542.06</v>
      </c>
      <c r="M259" t="s">
        <v>520</v>
      </c>
      <c r="N259">
        <v>18</v>
      </c>
    </row>
    <row r="260" spans="1:14" x14ac:dyDescent="0.3">
      <c r="A260">
        <v>100259</v>
      </c>
      <c r="B260">
        <v>2201575112</v>
      </c>
      <c r="C260" t="s">
        <v>272</v>
      </c>
      <c r="D260" t="s">
        <v>515</v>
      </c>
      <c r="E260" s="5">
        <v>45550</v>
      </c>
      <c r="F260" t="s">
        <v>517</v>
      </c>
      <c r="G260">
        <v>33138.019999999997</v>
      </c>
      <c r="H260">
        <v>78611.81</v>
      </c>
      <c r="I260">
        <v>10.68</v>
      </c>
      <c r="J260">
        <v>492994.27</v>
      </c>
      <c r="K260">
        <v>2</v>
      </c>
      <c r="L260">
        <v>48874.55</v>
      </c>
      <c r="M260" t="s">
        <v>522</v>
      </c>
      <c r="N260">
        <v>18</v>
      </c>
    </row>
    <row r="261" spans="1:14" x14ac:dyDescent="0.3">
      <c r="A261">
        <v>100260</v>
      </c>
      <c r="B261">
        <v>2766119412</v>
      </c>
      <c r="C261" t="s">
        <v>273</v>
      </c>
      <c r="D261" t="s">
        <v>514</v>
      </c>
      <c r="E261" s="5">
        <v>45551</v>
      </c>
      <c r="F261" t="s">
        <v>517</v>
      </c>
      <c r="G261">
        <v>44808.33</v>
      </c>
      <c r="H261">
        <v>145639.01</v>
      </c>
      <c r="I261">
        <v>5.18</v>
      </c>
      <c r="J261">
        <v>121914.74</v>
      </c>
      <c r="K261">
        <v>3</v>
      </c>
      <c r="L261">
        <v>27693.84</v>
      </c>
      <c r="M261" t="s">
        <v>522</v>
      </c>
      <c r="N261">
        <v>18</v>
      </c>
    </row>
    <row r="262" spans="1:14" x14ac:dyDescent="0.3">
      <c r="A262">
        <v>100261</v>
      </c>
      <c r="B262">
        <v>1572025740</v>
      </c>
      <c r="C262" t="s">
        <v>274</v>
      </c>
      <c r="D262" t="s">
        <v>516</v>
      </c>
      <c r="E262" s="5">
        <v>45552</v>
      </c>
      <c r="F262" t="s">
        <v>517</v>
      </c>
      <c r="G262">
        <v>32015.15</v>
      </c>
      <c r="H262">
        <v>486051.02</v>
      </c>
      <c r="I262">
        <v>11.65</v>
      </c>
      <c r="J262">
        <v>418434.79</v>
      </c>
      <c r="K262">
        <v>17</v>
      </c>
      <c r="L262">
        <v>7648.73</v>
      </c>
      <c r="M262" t="s">
        <v>522</v>
      </c>
      <c r="N262">
        <v>18</v>
      </c>
    </row>
    <row r="263" spans="1:14" x14ac:dyDescent="0.3">
      <c r="A263">
        <v>100262</v>
      </c>
      <c r="B263">
        <v>5622245410</v>
      </c>
      <c r="C263" t="s">
        <v>275</v>
      </c>
      <c r="D263" t="s">
        <v>516</v>
      </c>
      <c r="E263" s="5">
        <v>45553</v>
      </c>
      <c r="F263" t="s">
        <v>518</v>
      </c>
      <c r="G263">
        <v>30889.71</v>
      </c>
      <c r="H263">
        <v>172360.03</v>
      </c>
      <c r="I263">
        <v>4.7699999999999996</v>
      </c>
      <c r="J263">
        <v>813360.78</v>
      </c>
      <c r="K263">
        <v>1</v>
      </c>
      <c r="L263">
        <v>44788.13</v>
      </c>
      <c r="M263" t="s">
        <v>519</v>
      </c>
      <c r="N263">
        <v>18</v>
      </c>
    </row>
    <row r="264" spans="1:14" x14ac:dyDescent="0.3">
      <c r="A264">
        <v>100263</v>
      </c>
      <c r="B264">
        <v>5039553413</v>
      </c>
      <c r="C264" t="s">
        <v>276</v>
      </c>
      <c r="D264" t="s">
        <v>515</v>
      </c>
      <c r="E264" s="5">
        <v>45554</v>
      </c>
      <c r="F264" t="s">
        <v>518</v>
      </c>
      <c r="G264">
        <v>3799.28</v>
      </c>
      <c r="H264">
        <v>246200.12</v>
      </c>
      <c r="I264">
        <v>11.56</v>
      </c>
      <c r="J264">
        <v>906685.33</v>
      </c>
      <c r="K264">
        <v>6</v>
      </c>
      <c r="L264">
        <v>4657.28</v>
      </c>
      <c r="M264" t="s">
        <v>522</v>
      </c>
      <c r="N264">
        <v>18</v>
      </c>
    </row>
    <row r="265" spans="1:14" x14ac:dyDescent="0.3">
      <c r="A265">
        <v>100264</v>
      </c>
      <c r="B265">
        <v>7084418418</v>
      </c>
      <c r="C265" t="s">
        <v>277</v>
      </c>
      <c r="D265" t="s">
        <v>516</v>
      </c>
      <c r="E265" s="5">
        <v>45555</v>
      </c>
      <c r="F265" t="s">
        <v>518</v>
      </c>
      <c r="G265">
        <v>26161.200000000001</v>
      </c>
      <c r="H265">
        <v>106087.88</v>
      </c>
      <c r="I265">
        <v>11.95</v>
      </c>
      <c r="J265">
        <v>243299.11</v>
      </c>
      <c r="K265">
        <v>15</v>
      </c>
      <c r="L265">
        <v>45479.040000000001</v>
      </c>
      <c r="M265" t="s">
        <v>520</v>
      </c>
      <c r="N265">
        <v>18</v>
      </c>
    </row>
    <row r="266" spans="1:14" x14ac:dyDescent="0.3">
      <c r="A266">
        <v>100265</v>
      </c>
      <c r="B266">
        <v>5650369033</v>
      </c>
      <c r="C266" t="s">
        <v>278</v>
      </c>
      <c r="D266" t="s">
        <v>516</v>
      </c>
      <c r="E266" s="5">
        <v>45556</v>
      </c>
      <c r="F266" t="s">
        <v>518</v>
      </c>
      <c r="G266">
        <v>7933.37</v>
      </c>
      <c r="H266">
        <v>309282.23</v>
      </c>
      <c r="I266">
        <v>9.41</v>
      </c>
      <c r="J266">
        <v>113624.93</v>
      </c>
      <c r="K266">
        <v>14</v>
      </c>
      <c r="L266">
        <v>49831.72</v>
      </c>
      <c r="M266" t="s">
        <v>519</v>
      </c>
      <c r="N266">
        <v>18</v>
      </c>
    </row>
    <row r="267" spans="1:14" x14ac:dyDescent="0.3">
      <c r="A267">
        <v>100266</v>
      </c>
      <c r="B267">
        <v>7664019194</v>
      </c>
      <c r="C267" t="s">
        <v>279</v>
      </c>
      <c r="D267" t="s">
        <v>514</v>
      </c>
      <c r="E267" s="5">
        <v>45557</v>
      </c>
      <c r="F267" t="s">
        <v>517</v>
      </c>
      <c r="G267">
        <v>37002.97</v>
      </c>
      <c r="H267">
        <v>147534.78</v>
      </c>
      <c r="I267">
        <v>11.83</v>
      </c>
      <c r="J267">
        <v>883482.93</v>
      </c>
      <c r="K267">
        <v>15</v>
      </c>
      <c r="L267">
        <v>35321.160000000003</v>
      </c>
      <c r="M267" t="s">
        <v>521</v>
      </c>
      <c r="N267">
        <v>18</v>
      </c>
    </row>
    <row r="268" spans="1:14" x14ac:dyDescent="0.3">
      <c r="A268">
        <v>100267</v>
      </c>
      <c r="B268">
        <v>1707957764</v>
      </c>
      <c r="C268" t="s">
        <v>280</v>
      </c>
      <c r="D268" t="s">
        <v>516</v>
      </c>
      <c r="E268" s="5">
        <v>45558</v>
      </c>
      <c r="F268" t="s">
        <v>517</v>
      </c>
      <c r="G268">
        <v>25854.99</v>
      </c>
      <c r="H268">
        <v>111426.36</v>
      </c>
      <c r="I268">
        <v>8.1300000000000008</v>
      </c>
      <c r="J268">
        <v>419934.69</v>
      </c>
      <c r="K268">
        <v>14</v>
      </c>
      <c r="L268">
        <v>38751.910000000003</v>
      </c>
      <c r="M268" t="s">
        <v>523</v>
      </c>
      <c r="N268">
        <v>18</v>
      </c>
    </row>
    <row r="269" spans="1:14" x14ac:dyDescent="0.3">
      <c r="A269">
        <v>100268</v>
      </c>
      <c r="B269">
        <v>4339776373</v>
      </c>
      <c r="C269" t="s">
        <v>281</v>
      </c>
      <c r="D269" t="s">
        <v>514</v>
      </c>
      <c r="E269" s="5">
        <v>45559</v>
      </c>
      <c r="F269" t="s">
        <v>518</v>
      </c>
      <c r="G269">
        <v>34171.279999999999</v>
      </c>
      <c r="H269">
        <v>263120.59000000003</v>
      </c>
      <c r="I269">
        <v>5.34</v>
      </c>
      <c r="J269">
        <v>564672.92000000004</v>
      </c>
      <c r="K269">
        <v>5</v>
      </c>
      <c r="L269">
        <v>17527.84</v>
      </c>
      <c r="M269" t="s">
        <v>522</v>
      </c>
      <c r="N269">
        <v>18</v>
      </c>
    </row>
    <row r="270" spans="1:14" x14ac:dyDescent="0.3">
      <c r="A270">
        <v>100269</v>
      </c>
      <c r="B270">
        <v>3063173777</v>
      </c>
      <c r="C270" t="s">
        <v>282</v>
      </c>
      <c r="D270" t="s">
        <v>515</v>
      </c>
      <c r="E270" s="5">
        <v>45560</v>
      </c>
      <c r="F270" t="s">
        <v>518</v>
      </c>
      <c r="G270">
        <v>2562.81</v>
      </c>
      <c r="H270">
        <v>12697.84</v>
      </c>
      <c r="I270">
        <v>6.93</v>
      </c>
      <c r="J270">
        <v>969662.52</v>
      </c>
      <c r="K270">
        <v>6</v>
      </c>
      <c r="L270">
        <v>47137.27</v>
      </c>
      <c r="M270" t="s">
        <v>521</v>
      </c>
      <c r="N270">
        <v>18</v>
      </c>
    </row>
    <row r="271" spans="1:14" x14ac:dyDescent="0.3">
      <c r="A271">
        <v>100270</v>
      </c>
      <c r="B271">
        <v>2618081546</v>
      </c>
      <c r="C271" t="s">
        <v>283</v>
      </c>
      <c r="D271" t="s">
        <v>516</v>
      </c>
      <c r="E271" s="5">
        <v>45561</v>
      </c>
      <c r="F271" t="s">
        <v>517</v>
      </c>
      <c r="G271">
        <v>4697.2</v>
      </c>
      <c r="H271">
        <v>13755.38</v>
      </c>
      <c r="I271">
        <v>8.34</v>
      </c>
      <c r="J271">
        <v>113236.49</v>
      </c>
      <c r="K271">
        <v>17</v>
      </c>
      <c r="L271">
        <v>26955.98</v>
      </c>
      <c r="M271" t="s">
        <v>520</v>
      </c>
      <c r="N271">
        <v>18</v>
      </c>
    </row>
    <row r="272" spans="1:14" x14ac:dyDescent="0.3">
      <c r="A272">
        <v>100271</v>
      </c>
      <c r="B272">
        <v>4219414297</v>
      </c>
      <c r="C272" t="s">
        <v>284</v>
      </c>
      <c r="D272" t="s">
        <v>515</v>
      </c>
      <c r="E272" s="5">
        <v>45562</v>
      </c>
      <c r="F272" t="s">
        <v>517</v>
      </c>
      <c r="G272">
        <v>35958.01</v>
      </c>
      <c r="H272">
        <v>117343.72</v>
      </c>
      <c r="I272">
        <v>3.66</v>
      </c>
      <c r="J272">
        <v>665902.11</v>
      </c>
      <c r="K272">
        <v>11</v>
      </c>
      <c r="L272">
        <v>36887.03</v>
      </c>
      <c r="M272" t="s">
        <v>523</v>
      </c>
      <c r="N272">
        <v>18</v>
      </c>
    </row>
    <row r="273" spans="1:14" x14ac:dyDescent="0.3">
      <c r="A273">
        <v>100272</v>
      </c>
      <c r="B273">
        <v>8856200506</v>
      </c>
      <c r="C273" t="s">
        <v>285</v>
      </c>
      <c r="D273" t="s">
        <v>515</v>
      </c>
      <c r="E273" s="5">
        <v>45563</v>
      </c>
      <c r="F273" t="s">
        <v>518</v>
      </c>
      <c r="G273">
        <v>4068.17</v>
      </c>
      <c r="H273">
        <v>27993.47</v>
      </c>
      <c r="I273">
        <v>8.6</v>
      </c>
      <c r="J273">
        <v>120400.15</v>
      </c>
      <c r="K273">
        <v>16</v>
      </c>
      <c r="L273">
        <v>46281.279999999999</v>
      </c>
      <c r="M273" t="s">
        <v>521</v>
      </c>
      <c r="N273">
        <v>18</v>
      </c>
    </row>
    <row r="274" spans="1:14" x14ac:dyDescent="0.3">
      <c r="A274">
        <v>100273</v>
      </c>
      <c r="B274">
        <v>1272781216</v>
      </c>
      <c r="C274" t="s">
        <v>286</v>
      </c>
      <c r="D274" t="s">
        <v>516</v>
      </c>
      <c r="E274" s="5">
        <v>45564</v>
      </c>
      <c r="F274" t="s">
        <v>518</v>
      </c>
      <c r="G274">
        <v>4027.21</v>
      </c>
      <c r="H274">
        <v>62932.62</v>
      </c>
      <c r="I274">
        <v>11.83</v>
      </c>
      <c r="J274">
        <v>406695.48</v>
      </c>
      <c r="K274">
        <v>12</v>
      </c>
      <c r="L274">
        <v>48783.82</v>
      </c>
      <c r="M274" t="s">
        <v>523</v>
      </c>
      <c r="N274">
        <v>18</v>
      </c>
    </row>
    <row r="275" spans="1:14" x14ac:dyDescent="0.3">
      <c r="A275">
        <v>100274</v>
      </c>
      <c r="B275">
        <v>5453116008</v>
      </c>
      <c r="C275" t="s">
        <v>287</v>
      </c>
      <c r="D275" t="s">
        <v>516</v>
      </c>
      <c r="E275" s="5">
        <v>45565</v>
      </c>
      <c r="F275" t="s">
        <v>518</v>
      </c>
      <c r="G275">
        <v>1099.3699999999999</v>
      </c>
      <c r="H275">
        <v>176041.72</v>
      </c>
      <c r="I275">
        <v>4.71</v>
      </c>
      <c r="J275">
        <v>813623.82</v>
      </c>
      <c r="K275">
        <v>15</v>
      </c>
      <c r="L275">
        <v>41827.01</v>
      </c>
      <c r="M275" t="s">
        <v>522</v>
      </c>
      <c r="N275">
        <v>18</v>
      </c>
    </row>
    <row r="276" spans="1:14" x14ac:dyDescent="0.3">
      <c r="A276">
        <v>100275</v>
      </c>
      <c r="B276">
        <v>1058720660</v>
      </c>
      <c r="C276" t="s">
        <v>288</v>
      </c>
      <c r="D276" t="s">
        <v>515</v>
      </c>
      <c r="E276" s="5">
        <v>45566</v>
      </c>
      <c r="F276" t="s">
        <v>518</v>
      </c>
      <c r="G276">
        <v>47846.82</v>
      </c>
      <c r="H276">
        <v>403266.98</v>
      </c>
      <c r="I276">
        <v>10.130000000000001</v>
      </c>
      <c r="J276">
        <v>461798.62</v>
      </c>
      <c r="K276">
        <v>4</v>
      </c>
      <c r="L276">
        <v>15847.86</v>
      </c>
      <c r="M276" t="s">
        <v>520</v>
      </c>
      <c r="N276">
        <v>18</v>
      </c>
    </row>
    <row r="277" spans="1:14" x14ac:dyDescent="0.3">
      <c r="A277">
        <v>100276</v>
      </c>
      <c r="B277">
        <v>8265858011</v>
      </c>
      <c r="C277" t="s">
        <v>289</v>
      </c>
      <c r="D277" t="s">
        <v>516</v>
      </c>
      <c r="E277" s="5">
        <v>45567</v>
      </c>
      <c r="F277" t="s">
        <v>517</v>
      </c>
      <c r="G277">
        <v>37006.660000000003</v>
      </c>
      <c r="H277">
        <v>290303.84000000003</v>
      </c>
      <c r="I277">
        <v>11.17</v>
      </c>
      <c r="J277">
        <v>997323.24</v>
      </c>
      <c r="K277">
        <v>18</v>
      </c>
      <c r="L277">
        <v>48360.83</v>
      </c>
      <c r="M277" t="s">
        <v>523</v>
      </c>
      <c r="N277">
        <v>18</v>
      </c>
    </row>
    <row r="278" spans="1:14" x14ac:dyDescent="0.3">
      <c r="A278">
        <v>100277</v>
      </c>
      <c r="B278">
        <v>3294999748</v>
      </c>
      <c r="C278" t="s">
        <v>290</v>
      </c>
      <c r="D278" t="s">
        <v>514</v>
      </c>
      <c r="E278" s="5">
        <v>45568</v>
      </c>
      <c r="F278" t="s">
        <v>517</v>
      </c>
      <c r="G278">
        <v>17985.939999999999</v>
      </c>
      <c r="H278">
        <v>261207.19</v>
      </c>
      <c r="I278">
        <v>11.49</v>
      </c>
      <c r="J278">
        <v>581106.31999999995</v>
      </c>
      <c r="K278">
        <v>3</v>
      </c>
      <c r="L278">
        <v>31777.86</v>
      </c>
      <c r="M278" t="s">
        <v>521</v>
      </c>
      <c r="N278">
        <v>18</v>
      </c>
    </row>
    <row r="279" spans="1:14" x14ac:dyDescent="0.3">
      <c r="A279">
        <v>100278</v>
      </c>
      <c r="B279">
        <v>9216984322</v>
      </c>
      <c r="C279" t="s">
        <v>291</v>
      </c>
      <c r="D279" t="s">
        <v>514</v>
      </c>
      <c r="E279" s="5">
        <v>45569</v>
      </c>
      <c r="F279" t="s">
        <v>517</v>
      </c>
      <c r="G279">
        <v>15178.51</v>
      </c>
      <c r="H279">
        <v>153809.51999999999</v>
      </c>
      <c r="I279">
        <v>11.64</v>
      </c>
      <c r="J279">
        <v>355104.05</v>
      </c>
      <c r="K279">
        <v>8</v>
      </c>
      <c r="L279">
        <v>46601.48</v>
      </c>
      <c r="M279" t="s">
        <v>522</v>
      </c>
      <c r="N279">
        <v>18</v>
      </c>
    </row>
    <row r="280" spans="1:14" x14ac:dyDescent="0.3">
      <c r="A280">
        <v>100279</v>
      </c>
      <c r="B280">
        <v>3513198102</v>
      </c>
      <c r="C280" t="s">
        <v>292</v>
      </c>
      <c r="D280" t="s">
        <v>516</v>
      </c>
      <c r="E280" s="5">
        <v>45570</v>
      </c>
      <c r="F280" t="s">
        <v>518</v>
      </c>
      <c r="G280">
        <v>17810.310000000001</v>
      </c>
      <c r="H280">
        <v>466559.32</v>
      </c>
      <c r="I280">
        <v>7.69</v>
      </c>
      <c r="J280">
        <v>259105.76</v>
      </c>
      <c r="K280">
        <v>3</v>
      </c>
      <c r="L280">
        <v>34129.15</v>
      </c>
      <c r="M280" t="s">
        <v>522</v>
      </c>
      <c r="N280">
        <v>18</v>
      </c>
    </row>
    <row r="281" spans="1:14" x14ac:dyDescent="0.3">
      <c r="A281">
        <v>100280</v>
      </c>
      <c r="B281">
        <v>4118665268</v>
      </c>
      <c r="C281" t="s">
        <v>293</v>
      </c>
      <c r="D281" t="s">
        <v>515</v>
      </c>
      <c r="E281" s="5">
        <v>45571</v>
      </c>
      <c r="F281" t="s">
        <v>518</v>
      </c>
      <c r="G281">
        <v>38845.35</v>
      </c>
      <c r="H281">
        <v>204537.37</v>
      </c>
      <c r="I281">
        <v>11.8</v>
      </c>
      <c r="J281">
        <v>382994.51</v>
      </c>
      <c r="K281">
        <v>8</v>
      </c>
      <c r="L281">
        <v>16054.71</v>
      </c>
      <c r="M281" t="s">
        <v>521</v>
      </c>
      <c r="N281">
        <v>18</v>
      </c>
    </row>
    <row r="282" spans="1:14" x14ac:dyDescent="0.3">
      <c r="A282">
        <v>100281</v>
      </c>
      <c r="B282">
        <v>4251638985</v>
      </c>
      <c r="C282" t="s">
        <v>294</v>
      </c>
      <c r="D282" t="s">
        <v>516</v>
      </c>
      <c r="E282" s="5">
        <v>45572</v>
      </c>
      <c r="F282" t="s">
        <v>517</v>
      </c>
      <c r="G282">
        <v>33237.85</v>
      </c>
      <c r="H282">
        <v>52675.46</v>
      </c>
      <c r="I282">
        <v>9.82</v>
      </c>
      <c r="J282">
        <v>403906.61</v>
      </c>
      <c r="K282">
        <v>18</v>
      </c>
      <c r="L282">
        <v>19131.2</v>
      </c>
      <c r="M282" t="s">
        <v>521</v>
      </c>
      <c r="N282">
        <v>18</v>
      </c>
    </row>
    <row r="283" spans="1:14" x14ac:dyDescent="0.3">
      <c r="A283">
        <v>100282</v>
      </c>
      <c r="B283">
        <v>6917823058</v>
      </c>
      <c r="C283" t="s">
        <v>295</v>
      </c>
      <c r="D283" t="s">
        <v>516</v>
      </c>
      <c r="E283" s="5">
        <v>45573</v>
      </c>
      <c r="F283" t="s">
        <v>517</v>
      </c>
      <c r="G283">
        <v>9667.18</v>
      </c>
      <c r="H283">
        <v>312362.59000000003</v>
      </c>
      <c r="I283">
        <v>4.46</v>
      </c>
      <c r="J283">
        <v>115277.99</v>
      </c>
      <c r="K283">
        <v>10</v>
      </c>
      <c r="L283">
        <v>27973.119999999999</v>
      </c>
      <c r="M283" t="s">
        <v>523</v>
      </c>
      <c r="N283">
        <v>18</v>
      </c>
    </row>
    <row r="284" spans="1:14" x14ac:dyDescent="0.3">
      <c r="A284">
        <v>100283</v>
      </c>
      <c r="B284">
        <v>2035451476</v>
      </c>
      <c r="C284" t="s">
        <v>296</v>
      </c>
      <c r="D284" t="s">
        <v>515</v>
      </c>
      <c r="E284" s="5">
        <v>45574</v>
      </c>
      <c r="F284" t="s">
        <v>517</v>
      </c>
      <c r="G284">
        <v>9118.41</v>
      </c>
      <c r="H284">
        <v>65780.81</v>
      </c>
      <c r="I284">
        <v>7.29</v>
      </c>
      <c r="J284">
        <v>401095.49</v>
      </c>
      <c r="K284">
        <v>17</v>
      </c>
      <c r="L284">
        <v>39710.730000000003</v>
      </c>
      <c r="M284" t="s">
        <v>519</v>
      </c>
      <c r="N284">
        <v>18</v>
      </c>
    </row>
    <row r="285" spans="1:14" x14ac:dyDescent="0.3">
      <c r="A285">
        <v>100284</v>
      </c>
      <c r="B285">
        <v>6175630280</v>
      </c>
      <c r="C285" t="s">
        <v>297</v>
      </c>
      <c r="D285" t="s">
        <v>515</v>
      </c>
      <c r="E285" s="5">
        <v>45575</v>
      </c>
      <c r="F285" t="s">
        <v>517</v>
      </c>
      <c r="G285">
        <v>5370.58</v>
      </c>
      <c r="H285">
        <v>179159.34</v>
      </c>
      <c r="I285">
        <v>9.4600000000000009</v>
      </c>
      <c r="J285">
        <v>491026.59</v>
      </c>
      <c r="K285">
        <v>8</v>
      </c>
      <c r="L285">
        <v>16581.150000000001</v>
      </c>
      <c r="M285" t="s">
        <v>522</v>
      </c>
      <c r="N285">
        <v>18</v>
      </c>
    </row>
    <row r="286" spans="1:14" x14ac:dyDescent="0.3">
      <c r="A286">
        <v>100285</v>
      </c>
      <c r="B286">
        <v>6374904320</v>
      </c>
      <c r="C286" t="s">
        <v>298</v>
      </c>
      <c r="D286" t="s">
        <v>514</v>
      </c>
      <c r="E286" s="5">
        <v>45576</v>
      </c>
      <c r="F286" t="s">
        <v>518</v>
      </c>
      <c r="G286">
        <v>33184.980000000003</v>
      </c>
      <c r="H286">
        <v>258631.85</v>
      </c>
      <c r="I286">
        <v>5.23</v>
      </c>
      <c r="J286">
        <v>736600.86</v>
      </c>
      <c r="K286">
        <v>11</v>
      </c>
      <c r="L286">
        <v>29406.83</v>
      </c>
      <c r="M286" t="s">
        <v>523</v>
      </c>
      <c r="N286">
        <v>18</v>
      </c>
    </row>
    <row r="287" spans="1:14" x14ac:dyDescent="0.3">
      <c r="A287">
        <v>100286</v>
      </c>
      <c r="B287">
        <v>1890035971</v>
      </c>
      <c r="C287" t="s">
        <v>299</v>
      </c>
      <c r="D287" t="s">
        <v>515</v>
      </c>
      <c r="E287" s="5">
        <v>45577</v>
      </c>
      <c r="F287" t="s">
        <v>517</v>
      </c>
      <c r="G287">
        <v>38336.449999999997</v>
      </c>
      <c r="H287">
        <v>438369.04</v>
      </c>
      <c r="I287">
        <v>8.77</v>
      </c>
      <c r="J287">
        <v>673893.01</v>
      </c>
      <c r="K287">
        <v>5</v>
      </c>
      <c r="L287">
        <v>17935.62</v>
      </c>
      <c r="M287" t="s">
        <v>521</v>
      </c>
      <c r="N287">
        <v>18</v>
      </c>
    </row>
    <row r="288" spans="1:14" x14ac:dyDescent="0.3">
      <c r="A288">
        <v>100287</v>
      </c>
      <c r="B288">
        <v>9066896320</v>
      </c>
      <c r="C288" t="s">
        <v>300</v>
      </c>
      <c r="D288" t="s">
        <v>514</v>
      </c>
      <c r="E288" s="5">
        <v>45578</v>
      </c>
      <c r="F288" t="s">
        <v>517</v>
      </c>
      <c r="G288">
        <v>13619.8</v>
      </c>
      <c r="H288">
        <v>251837.82</v>
      </c>
      <c r="I288">
        <v>9</v>
      </c>
      <c r="J288">
        <v>723327.37</v>
      </c>
      <c r="K288">
        <v>13</v>
      </c>
      <c r="L288">
        <v>40972.699999999997</v>
      </c>
      <c r="M288" t="s">
        <v>523</v>
      </c>
      <c r="N288">
        <v>18</v>
      </c>
    </row>
    <row r="289" spans="1:14" x14ac:dyDescent="0.3">
      <c r="A289">
        <v>100288</v>
      </c>
      <c r="B289">
        <v>4251286503</v>
      </c>
      <c r="C289" t="s">
        <v>301</v>
      </c>
      <c r="D289" t="s">
        <v>515</v>
      </c>
      <c r="E289" s="5">
        <v>45579</v>
      </c>
      <c r="F289" t="s">
        <v>517</v>
      </c>
      <c r="G289">
        <v>1536.78</v>
      </c>
      <c r="H289">
        <v>354106.8</v>
      </c>
      <c r="I289">
        <v>4.46</v>
      </c>
      <c r="J289">
        <v>57945.5</v>
      </c>
      <c r="K289">
        <v>5</v>
      </c>
      <c r="L289">
        <v>23869.68</v>
      </c>
      <c r="M289" t="s">
        <v>521</v>
      </c>
      <c r="N289">
        <v>18</v>
      </c>
    </row>
    <row r="290" spans="1:14" x14ac:dyDescent="0.3">
      <c r="A290">
        <v>100289</v>
      </c>
      <c r="B290">
        <v>7434570489</v>
      </c>
      <c r="C290" t="s">
        <v>302</v>
      </c>
      <c r="D290" t="s">
        <v>516</v>
      </c>
      <c r="E290" s="5">
        <v>45580</v>
      </c>
      <c r="F290" t="s">
        <v>517</v>
      </c>
      <c r="G290">
        <v>4567.5</v>
      </c>
      <c r="H290">
        <v>496480.25</v>
      </c>
      <c r="I290">
        <v>8.09</v>
      </c>
      <c r="J290">
        <v>256784.03</v>
      </c>
      <c r="K290">
        <v>13</v>
      </c>
      <c r="L290">
        <v>4759.42</v>
      </c>
      <c r="M290" t="s">
        <v>520</v>
      </c>
      <c r="N290">
        <v>18</v>
      </c>
    </row>
    <row r="291" spans="1:14" x14ac:dyDescent="0.3">
      <c r="A291">
        <v>100290</v>
      </c>
      <c r="B291">
        <v>7340276661</v>
      </c>
      <c r="C291" t="s">
        <v>303</v>
      </c>
      <c r="D291" t="s">
        <v>514</v>
      </c>
      <c r="E291" s="5">
        <v>45581</v>
      </c>
      <c r="F291" t="s">
        <v>517</v>
      </c>
      <c r="G291">
        <v>48409.07</v>
      </c>
      <c r="H291">
        <v>74429.67</v>
      </c>
      <c r="I291">
        <v>9.94</v>
      </c>
      <c r="J291">
        <v>678600.07</v>
      </c>
      <c r="K291">
        <v>6</v>
      </c>
      <c r="L291">
        <v>9136.57</v>
      </c>
      <c r="M291" t="s">
        <v>521</v>
      </c>
      <c r="N291">
        <v>18</v>
      </c>
    </row>
    <row r="292" spans="1:14" x14ac:dyDescent="0.3">
      <c r="A292">
        <v>100291</v>
      </c>
      <c r="B292">
        <v>8865680642</v>
      </c>
      <c r="C292" t="s">
        <v>304</v>
      </c>
      <c r="D292" t="s">
        <v>514</v>
      </c>
      <c r="E292" s="5">
        <v>45582</v>
      </c>
      <c r="F292" t="s">
        <v>517</v>
      </c>
      <c r="G292">
        <v>15124.52</v>
      </c>
      <c r="H292">
        <v>144618.45000000001</v>
      </c>
      <c r="I292">
        <v>7.49</v>
      </c>
      <c r="J292">
        <v>509789.9</v>
      </c>
      <c r="K292">
        <v>5</v>
      </c>
      <c r="L292">
        <v>3994.13</v>
      </c>
      <c r="M292" t="s">
        <v>521</v>
      </c>
      <c r="N292">
        <v>18</v>
      </c>
    </row>
    <row r="293" spans="1:14" x14ac:dyDescent="0.3">
      <c r="A293">
        <v>100292</v>
      </c>
      <c r="B293">
        <v>9452382955</v>
      </c>
      <c r="C293" t="s">
        <v>305</v>
      </c>
      <c r="D293" t="s">
        <v>514</v>
      </c>
      <c r="E293" s="5">
        <v>45583</v>
      </c>
      <c r="F293" t="s">
        <v>517</v>
      </c>
      <c r="G293">
        <v>38576.550000000003</v>
      </c>
      <c r="H293">
        <v>203342.28</v>
      </c>
      <c r="I293">
        <v>3.11</v>
      </c>
      <c r="J293">
        <v>55047.8</v>
      </c>
      <c r="K293">
        <v>9</v>
      </c>
      <c r="L293">
        <v>25465.84</v>
      </c>
      <c r="M293" t="s">
        <v>521</v>
      </c>
      <c r="N293">
        <v>18</v>
      </c>
    </row>
    <row r="294" spans="1:14" x14ac:dyDescent="0.3">
      <c r="A294">
        <v>100293</v>
      </c>
      <c r="B294">
        <v>1379710429</v>
      </c>
      <c r="C294" t="s">
        <v>306</v>
      </c>
      <c r="D294" t="s">
        <v>516</v>
      </c>
      <c r="E294" s="5">
        <v>45584</v>
      </c>
      <c r="F294" t="s">
        <v>518</v>
      </c>
      <c r="G294">
        <v>31420.85</v>
      </c>
      <c r="H294">
        <v>216695.81</v>
      </c>
      <c r="I294">
        <v>3.08</v>
      </c>
      <c r="J294">
        <v>814269.91</v>
      </c>
      <c r="K294">
        <v>16</v>
      </c>
      <c r="L294">
        <v>6210.53</v>
      </c>
      <c r="M294" t="s">
        <v>519</v>
      </c>
      <c r="N294">
        <v>18</v>
      </c>
    </row>
    <row r="295" spans="1:14" x14ac:dyDescent="0.3">
      <c r="A295">
        <v>100294</v>
      </c>
      <c r="B295">
        <v>8695799034</v>
      </c>
      <c r="C295" t="s">
        <v>307</v>
      </c>
      <c r="D295" t="s">
        <v>516</v>
      </c>
      <c r="E295" s="5">
        <v>45585</v>
      </c>
      <c r="F295" t="s">
        <v>518</v>
      </c>
      <c r="G295">
        <v>19406.009999999998</v>
      </c>
      <c r="H295">
        <v>211400.33</v>
      </c>
      <c r="I295">
        <v>6.21</v>
      </c>
      <c r="J295">
        <v>784169.09</v>
      </c>
      <c r="K295">
        <v>2</v>
      </c>
      <c r="L295">
        <v>6592.86</v>
      </c>
      <c r="M295" t="s">
        <v>521</v>
      </c>
      <c r="N295">
        <v>18</v>
      </c>
    </row>
    <row r="296" spans="1:14" x14ac:dyDescent="0.3">
      <c r="A296">
        <v>100295</v>
      </c>
      <c r="B296">
        <v>3533841296</v>
      </c>
      <c r="C296" t="s">
        <v>308</v>
      </c>
      <c r="D296" t="s">
        <v>516</v>
      </c>
      <c r="E296" s="5">
        <v>45586</v>
      </c>
      <c r="F296" t="s">
        <v>518</v>
      </c>
      <c r="G296">
        <v>10681.52</v>
      </c>
      <c r="H296">
        <v>454729.39</v>
      </c>
      <c r="I296">
        <v>11.34</v>
      </c>
      <c r="J296">
        <v>570998.19999999995</v>
      </c>
      <c r="K296">
        <v>1</v>
      </c>
      <c r="L296">
        <v>47111.360000000001</v>
      </c>
      <c r="M296" t="s">
        <v>522</v>
      </c>
      <c r="N296">
        <v>18</v>
      </c>
    </row>
    <row r="297" spans="1:14" x14ac:dyDescent="0.3">
      <c r="A297">
        <v>100296</v>
      </c>
      <c r="B297">
        <v>3746036109</v>
      </c>
      <c r="C297" t="s">
        <v>309</v>
      </c>
      <c r="D297" t="s">
        <v>516</v>
      </c>
      <c r="E297" s="5">
        <v>45587</v>
      </c>
      <c r="F297" t="s">
        <v>518</v>
      </c>
      <c r="G297">
        <v>6508.63</v>
      </c>
      <c r="H297">
        <v>359876</v>
      </c>
      <c r="I297">
        <v>5.0599999999999996</v>
      </c>
      <c r="J297">
        <v>113140.16</v>
      </c>
      <c r="K297">
        <v>8</v>
      </c>
      <c r="L297">
        <v>43760.1</v>
      </c>
      <c r="M297" t="s">
        <v>522</v>
      </c>
      <c r="N297">
        <v>18</v>
      </c>
    </row>
    <row r="298" spans="1:14" x14ac:dyDescent="0.3">
      <c r="A298">
        <v>100297</v>
      </c>
      <c r="B298">
        <v>8752607818</v>
      </c>
      <c r="C298" t="s">
        <v>310</v>
      </c>
      <c r="D298" t="s">
        <v>516</v>
      </c>
      <c r="E298" s="5">
        <v>45588</v>
      </c>
      <c r="F298" t="s">
        <v>517</v>
      </c>
      <c r="G298">
        <v>30943.14</v>
      </c>
      <c r="H298">
        <v>307873.55</v>
      </c>
      <c r="I298">
        <v>8.7100000000000009</v>
      </c>
      <c r="J298">
        <v>778189.3</v>
      </c>
      <c r="K298">
        <v>19</v>
      </c>
      <c r="L298">
        <v>23152.240000000002</v>
      </c>
      <c r="M298" t="s">
        <v>523</v>
      </c>
      <c r="N298">
        <v>18</v>
      </c>
    </row>
    <row r="299" spans="1:14" x14ac:dyDescent="0.3">
      <c r="A299">
        <v>100298</v>
      </c>
      <c r="B299">
        <v>7946094783</v>
      </c>
      <c r="C299" t="s">
        <v>311</v>
      </c>
      <c r="D299" t="s">
        <v>514</v>
      </c>
      <c r="E299" s="5">
        <v>45589</v>
      </c>
      <c r="F299" t="s">
        <v>518</v>
      </c>
      <c r="G299">
        <v>38844.370000000003</v>
      </c>
      <c r="H299">
        <v>161592.63</v>
      </c>
      <c r="I299">
        <v>5</v>
      </c>
      <c r="J299">
        <v>604527.91</v>
      </c>
      <c r="K299">
        <v>11</v>
      </c>
      <c r="L299">
        <v>49304.46</v>
      </c>
      <c r="M299" t="s">
        <v>519</v>
      </c>
      <c r="N299">
        <v>18</v>
      </c>
    </row>
    <row r="300" spans="1:14" x14ac:dyDescent="0.3">
      <c r="A300">
        <v>100299</v>
      </c>
      <c r="B300">
        <v>7906684721</v>
      </c>
      <c r="C300" t="s">
        <v>312</v>
      </c>
      <c r="D300" t="s">
        <v>516</v>
      </c>
      <c r="E300" s="5">
        <v>45590</v>
      </c>
      <c r="F300" t="s">
        <v>518</v>
      </c>
      <c r="G300">
        <v>32373.26</v>
      </c>
      <c r="H300">
        <v>413657.29</v>
      </c>
      <c r="I300">
        <v>5.9</v>
      </c>
      <c r="J300">
        <v>792861.98</v>
      </c>
      <c r="K300">
        <v>12</v>
      </c>
      <c r="L300">
        <v>1009.14</v>
      </c>
      <c r="M300" t="s">
        <v>523</v>
      </c>
      <c r="N300">
        <v>18</v>
      </c>
    </row>
    <row r="301" spans="1:14" x14ac:dyDescent="0.3">
      <c r="A301">
        <v>100300</v>
      </c>
      <c r="B301">
        <v>8029333841</v>
      </c>
      <c r="C301" t="s">
        <v>313</v>
      </c>
      <c r="D301" t="s">
        <v>514</v>
      </c>
      <c r="E301" s="5">
        <v>45591</v>
      </c>
      <c r="F301" t="s">
        <v>517</v>
      </c>
      <c r="G301">
        <v>26749.96</v>
      </c>
      <c r="H301">
        <v>477979.65</v>
      </c>
      <c r="I301">
        <v>10.63</v>
      </c>
      <c r="J301">
        <v>764159.64</v>
      </c>
      <c r="K301">
        <v>12</v>
      </c>
      <c r="L301">
        <v>31084.99</v>
      </c>
      <c r="M301" t="s">
        <v>522</v>
      </c>
      <c r="N301">
        <v>18</v>
      </c>
    </row>
    <row r="302" spans="1:14" x14ac:dyDescent="0.3">
      <c r="A302">
        <v>100301</v>
      </c>
      <c r="B302">
        <v>7677882190</v>
      </c>
      <c r="C302" t="s">
        <v>314</v>
      </c>
      <c r="D302" t="s">
        <v>516</v>
      </c>
      <c r="E302" s="5">
        <v>45592</v>
      </c>
      <c r="F302" t="s">
        <v>517</v>
      </c>
      <c r="G302">
        <v>2576.59</v>
      </c>
      <c r="H302">
        <v>412387.16</v>
      </c>
      <c r="I302">
        <v>9.56</v>
      </c>
      <c r="J302">
        <v>812851.97</v>
      </c>
      <c r="K302">
        <v>7</v>
      </c>
      <c r="L302">
        <v>31204.98</v>
      </c>
      <c r="M302" t="s">
        <v>522</v>
      </c>
      <c r="N302">
        <v>18</v>
      </c>
    </row>
    <row r="303" spans="1:14" x14ac:dyDescent="0.3">
      <c r="A303">
        <v>100302</v>
      </c>
      <c r="B303">
        <v>9980785586</v>
      </c>
      <c r="C303" t="s">
        <v>315</v>
      </c>
      <c r="D303" t="s">
        <v>515</v>
      </c>
      <c r="E303" s="5">
        <v>45593</v>
      </c>
      <c r="F303" t="s">
        <v>518</v>
      </c>
      <c r="G303">
        <v>48440.19</v>
      </c>
      <c r="H303">
        <v>10766.9</v>
      </c>
      <c r="I303">
        <v>3.86</v>
      </c>
      <c r="J303">
        <v>542107.66</v>
      </c>
      <c r="K303">
        <v>13</v>
      </c>
      <c r="L303">
        <v>23414.71</v>
      </c>
      <c r="M303" t="s">
        <v>520</v>
      </c>
      <c r="N303">
        <v>18</v>
      </c>
    </row>
    <row r="304" spans="1:14" x14ac:dyDescent="0.3">
      <c r="A304">
        <v>100303</v>
      </c>
      <c r="B304">
        <v>7231612896</v>
      </c>
      <c r="C304" t="s">
        <v>316</v>
      </c>
      <c r="D304" t="s">
        <v>514</v>
      </c>
      <c r="E304" s="5">
        <v>45594</v>
      </c>
      <c r="F304" t="s">
        <v>518</v>
      </c>
      <c r="G304">
        <v>40036.35</v>
      </c>
      <c r="H304">
        <v>321836.67</v>
      </c>
      <c r="I304">
        <v>6.86</v>
      </c>
      <c r="J304">
        <v>183308.29</v>
      </c>
      <c r="K304">
        <v>8</v>
      </c>
      <c r="L304">
        <v>20450.45</v>
      </c>
      <c r="M304" t="s">
        <v>521</v>
      </c>
      <c r="N304">
        <v>18</v>
      </c>
    </row>
    <row r="305" spans="1:14" x14ac:dyDescent="0.3">
      <c r="A305">
        <v>100304</v>
      </c>
      <c r="B305">
        <v>4420820252</v>
      </c>
      <c r="C305" t="s">
        <v>317</v>
      </c>
      <c r="D305" t="s">
        <v>515</v>
      </c>
      <c r="E305" s="5">
        <v>45595</v>
      </c>
      <c r="F305" t="s">
        <v>517</v>
      </c>
      <c r="G305">
        <v>14994.69</v>
      </c>
      <c r="H305">
        <v>35056.339999999997</v>
      </c>
      <c r="I305">
        <v>3.26</v>
      </c>
      <c r="J305">
        <v>687599.6</v>
      </c>
      <c r="K305">
        <v>9</v>
      </c>
      <c r="L305">
        <v>23313.77</v>
      </c>
      <c r="M305" t="s">
        <v>522</v>
      </c>
      <c r="N305">
        <v>18</v>
      </c>
    </row>
    <row r="306" spans="1:14" x14ac:dyDescent="0.3">
      <c r="A306">
        <v>100305</v>
      </c>
      <c r="B306">
        <v>8597443856</v>
      </c>
      <c r="C306" t="s">
        <v>318</v>
      </c>
      <c r="D306" t="s">
        <v>514</v>
      </c>
      <c r="E306" s="5">
        <v>45596</v>
      </c>
      <c r="F306" t="s">
        <v>518</v>
      </c>
      <c r="G306">
        <v>49008.53</v>
      </c>
      <c r="H306">
        <v>136227.54</v>
      </c>
      <c r="I306">
        <v>7.33</v>
      </c>
      <c r="J306">
        <v>639450.1</v>
      </c>
      <c r="K306">
        <v>7</v>
      </c>
      <c r="L306">
        <v>21333.06</v>
      </c>
      <c r="M306" t="s">
        <v>523</v>
      </c>
      <c r="N306">
        <v>18</v>
      </c>
    </row>
    <row r="307" spans="1:14" x14ac:dyDescent="0.3">
      <c r="A307">
        <v>100306</v>
      </c>
      <c r="B307">
        <v>7961307397</v>
      </c>
      <c r="C307" t="s">
        <v>319</v>
      </c>
      <c r="D307" t="s">
        <v>515</v>
      </c>
      <c r="E307" s="5">
        <v>45597</v>
      </c>
      <c r="F307" t="s">
        <v>517</v>
      </c>
      <c r="G307">
        <v>30293.14</v>
      </c>
      <c r="H307">
        <v>39167.1</v>
      </c>
      <c r="I307">
        <v>8.9600000000000009</v>
      </c>
      <c r="J307">
        <v>755140.53</v>
      </c>
      <c r="K307">
        <v>15</v>
      </c>
      <c r="L307">
        <v>36794.129999999997</v>
      </c>
      <c r="M307" t="s">
        <v>523</v>
      </c>
      <c r="N307">
        <v>18</v>
      </c>
    </row>
    <row r="308" spans="1:14" x14ac:dyDescent="0.3">
      <c r="A308">
        <v>100307</v>
      </c>
      <c r="B308">
        <v>2492129217</v>
      </c>
      <c r="C308" t="s">
        <v>320</v>
      </c>
      <c r="D308" t="s">
        <v>516</v>
      </c>
      <c r="E308" s="5">
        <v>45598</v>
      </c>
      <c r="F308" t="s">
        <v>517</v>
      </c>
      <c r="G308">
        <v>29329.919999999998</v>
      </c>
      <c r="H308">
        <v>305859.77</v>
      </c>
      <c r="I308">
        <v>4.07</v>
      </c>
      <c r="J308">
        <v>211386.96</v>
      </c>
      <c r="K308">
        <v>2</v>
      </c>
      <c r="L308">
        <v>7632.42</v>
      </c>
      <c r="M308" t="s">
        <v>521</v>
      </c>
      <c r="N308">
        <v>18</v>
      </c>
    </row>
    <row r="309" spans="1:14" x14ac:dyDescent="0.3">
      <c r="A309">
        <v>100308</v>
      </c>
      <c r="B309">
        <v>1898209917</v>
      </c>
      <c r="C309" t="s">
        <v>321</v>
      </c>
      <c r="D309" t="s">
        <v>516</v>
      </c>
      <c r="E309" s="5">
        <v>45599</v>
      </c>
      <c r="F309" t="s">
        <v>517</v>
      </c>
      <c r="G309">
        <v>37529.620000000003</v>
      </c>
      <c r="H309">
        <v>346429.06</v>
      </c>
      <c r="I309">
        <v>5.6</v>
      </c>
      <c r="J309">
        <v>235226.44</v>
      </c>
      <c r="K309">
        <v>12</v>
      </c>
      <c r="L309">
        <v>10684.32</v>
      </c>
      <c r="M309" t="s">
        <v>521</v>
      </c>
      <c r="N309">
        <v>18</v>
      </c>
    </row>
    <row r="310" spans="1:14" x14ac:dyDescent="0.3">
      <c r="A310">
        <v>100309</v>
      </c>
      <c r="B310">
        <v>2976196758</v>
      </c>
      <c r="C310" t="s">
        <v>322</v>
      </c>
      <c r="D310" t="s">
        <v>516</v>
      </c>
      <c r="E310" s="5">
        <v>45600</v>
      </c>
      <c r="F310" t="s">
        <v>517</v>
      </c>
      <c r="G310">
        <v>40682.6</v>
      </c>
      <c r="H310">
        <v>66098.94</v>
      </c>
      <c r="I310">
        <v>6.58</v>
      </c>
      <c r="J310">
        <v>895889.04</v>
      </c>
      <c r="K310">
        <v>1</v>
      </c>
      <c r="L310">
        <v>9845.39</v>
      </c>
      <c r="M310" t="s">
        <v>520</v>
      </c>
      <c r="N310">
        <v>18</v>
      </c>
    </row>
    <row r="311" spans="1:14" x14ac:dyDescent="0.3">
      <c r="A311">
        <v>100310</v>
      </c>
      <c r="B311">
        <v>8291426703</v>
      </c>
      <c r="C311" t="s">
        <v>323</v>
      </c>
      <c r="D311" t="s">
        <v>514</v>
      </c>
      <c r="E311" s="5">
        <v>45601</v>
      </c>
      <c r="F311" t="s">
        <v>518</v>
      </c>
      <c r="G311">
        <v>32995.69</v>
      </c>
      <c r="H311">
        <v>198081.05</v>
      </c>
      <c r="I311">
        <v>11.28</v>
      </c>
      <c r="J311">
        <v>762478.91</v>
      </c>
      <c r="K311">
        <v>8</v>
      </c>
      <c r="L311">
        <v>13861.06</v>
      </c>
      <c r="M311" t="s">
        <v>519</v>
      </c>
      <c r="N311">
        <v>18</v>
      </c>
    </row>
    <row r="312" spans="1:14" x14ac:dyDescent="0.3">
      <c r="A312">
        <v>100311</v>
      </c>
      <c r="B312">
        <v>5179477151</v>
      </c>
      <c r="C312" t="s">
        <v>324</v>
      </c>
      <c r="D312" t="s">
        <v>515</v>
      </c>
      <c r="E312" s="5">
        <v>45602</v>
      </c>
      <c r="F312" t="s">
        <v>517</v>
      </c>
      <c r="G312">
        <v>6840.74</v>
      </c>
      <c r="H312">
        <v>233555.89</v>
      </c>
      <c r="I312">
        <v>11.94</v>
      </c>
      <c r="J312">
        <v>912817.06</v>
      </c>
      <c r="K312">
        <v>5</v>
      </c>
      <c r="L312">
        <v>26737.66</v>
      </c>
      <c r="M312" t="s">
        <v>523</v>
      </c>
      <c r="N312">
        <v>18</v>
      </c>
    </row>
    <row r="313" spans="1:14" x14ac:dyDescent="0.3">
      <c r="A313">
        <v>100312</v>
      </c>
      <c r="B313">
        <v>7880260156</v>
      </c>
      <c r="C313" t="s">
        <v>325</v>
      </c>
      <c r="D313" t="s">
        <v>516</v>
      </c>
      <c r="E313" s="5">
        <v>45603</v>
      </c>
      <c r="F313" t="s">
        <v>517</v>
      </c>
      <c r="G313">
        <v>17244.240000000002</v>
      </c>
      <c r="H313">
        <v>190835.98</v>
      </c>
      <c r="I313">
        <v>3.4</v>
      </c>
      <c r="J313">
        <v>770779.56</v>
      </c>
      <c r="K313">
        <v>15</v>
      </c>
      <c r="L313">
        <v>6449.23</v>
      </c>
      <c r="M313" t="s">
        <v>521</v>
      </c>
      <c r="N313">
        <v>18</v>
      </c>
    </row>
    <row r="314" spans="1:14" x14ac:dyDescent="0.3">
      <c r="A314">
        <v>100313</v>
      </c>
      <c r="B314">
        <v>6256391730</v>
      </c>
      <c r="C314" t="s">
        <v>326</v>
      </c>
      <c r="D314" t="s">
        <v>515</v>
      </c>
      <c r="E314" s="5">
        <v>45604</v>
      </c>
      <c r="F314" t="s">
        <v>518</v>
      </c>
      <c r="G314">
        <v>46440.14</v>
      </c>
      <c r="H314">
        <v>69302.25</v>
      </c>
      <c r="I314">
        <v>9.85</v>
      </c>
      <c r="J314">
        <v>617297.54</v>
      </c>
      <c r="K314">
        <v>1</v>
      </c>
      <c r="L314">
        <v>43540.3</v>
      </c>
      <c r="M314" t="s">
        <v>523</v>
      </c>
      <c r="N314">
        <v>18</v>
      </c>
    </row>
    <row r="315" spans="1:14" x14ac:dyDescent="0.3">
      <c r="A315">
        <v>100314</v>
      </c>
      <c r="B315">
        <v>2482118609</v>
      </c>
      <c r="C315" t="s">
        <v>327</v>
      </c>
      <c r="D315" t="s">
        <v>515</v>
      </c>
      <c r="E315" s="5">
        <v>45605</v>
      </c>
      <c r="F315" t="s">
        <v>517</v>
      </c>
      <c r="G315">
        <v>11618.47</v>
      </c>
      <c r="H315">
        <v>215284.42</v>
      </c>
      <c r="I315">
        <v>6.35</v>
      </c>
      <c r="J315">
        <v>671426.1</v>
      </c>
      <c r="K315">
        <v>1</v>
      </c>
      <c r="L315">
        <v>15570.72</v>
      </c>
      <c r="M315" t="s">
        <v>521</v>
      </c>
      <c r="N315">
        <v>18</v>
      </c>
    </row>
    <row r="316" spans="1:14" x14ac:dyDescent="0.3">
      <c r="A316">
        <v>100315</v>
      </c>
      <c r="B316">
        <v>1136600085</v>
      </c>
      <c r="C316" t="s">
        <v>328</v>
      </c>
      <c r="D316" t="s">
        <v>516</v>
      </c>
      <c r="E316" s="5">
        <v>45606</v>
      </c>
      <c r="F316" t="s">
        <v>518</v>
      </c>
      <c r="G316">
        <v>18922.27</v>
      </c>
      <c r="H316">
        <v>378077.24</v>
      </c>
      <c r="I316">
        <v>6.53</v>
      </c>
      <c r="J316">
        <v>894671.53</v>
      </c>
      <c r="K316">
        <v>10</v>
      </c>
      <c r="L316">
        <v>8964.36</v>
      </c>
      <c r="M316" t="s">
        <v>522</v>
      </c>
      <c r="N316">
        <v>18</v>
      </c>
    </row>
    <row r="317" spans="1:14" x14ac:dyDescent="0.3">
      <c r="A317">
        <v>100316</v>
      </c>
      <c r="B317">
        <v>3356714309</v>
      </c>
      <c r="C317" t="s">
        <v>329</v>
      </c>
      <c r="D317" t="s">
        <v>516</v>
      </c>
      <c r="E317" s="5">
        <v>45607</v>
      </c>
      <c r="F317" t="s">
        <v>518</v>
      </c>
      <c r="G317">
        <v>21887.81</v>
      </c>
      <c r="H317">
        <v>44793.760000000002</v>
      </c>
      <c r="I317">
        <v>9.7899999999999991</v>
      </c>
      <c r="J317">
        <v>599866.42000000004</v>
      </c>
      <c r="K317">
        <v>10</v>
      </c>
      <c r="L317">
        <v>34105.440000000002</v>
      </c>
      <c r="M317" t="s">
        <v>523</v>
      </c>
      <c r="N317">
        <v>18</v>
      </c>
    </row>
    <row r="318" spans="1:14" x14ac:dyDescent="0.3">
      <c r="A318">
        <v>100317</v>
      </c>
      <c r="B318">
        <v>3295331460</v>
      </c>
      <c r="C318" t="s">
        <v>330</v>
      </c>
      <c r="D318" t="s">
        <v>515</v>
      </c>
      <c r="E318" s="5">
        <v>45608</v>
      </c>
      <c r="F318" t="s">
        <v>518</v>
      </c>
      <c r="G318">
        <v>22250.55</v>
      </c>
      <c r="H318">
        <v>49288.21</v>
      </c>
      <c r="I318">
        <v>11.27</v>
      </c>
      <c r="J318">
        <v>650771.76</v>
      </c>
      <c r="K318">
        <v>15</v>
      </c>
      <c r="L318">
        <v>2866.23</v>
      </c>
      <c r="M318" t="s">
        <v>522</v>
      </c>
      <c r="N318">
        <v>18</v>
      </c>
    </row>
    <row r="319" spans="1:14" x14ac:dyDescent="0.3">
      <c r="A319">
        <v>100318</v>
      </c>
      <c r="B319">
        <v>2528971787</v>
      </c>
      <c r="C319" t="s">
        <v>331</v>
      </c>
      <c r="D319" t="s">
        <v>516</v>
      </c>
      <c r="E319" s="5">
        <v>45609</v>
      </c>
      <c r="F319" t="s">
        <v>517</v>
      </c>
      <c r="G319">
        <v>30840.51</v>
      </c>
      <c r="H319">
        <v>183837.93</v>
      </c>
      <c r="I319">
        <v>11.56</v>
      </c>
      <c r="J319">
        <v>198652.88</v>
      </c>
      <c r="K319">
        <v>17</v>
      </c>
      <c r="L319">
        <v>31378.46</v>
      </c>
      <c r="M319" t="s">
        <v>523</v>
      </c>
      <c r="N319">
        <v>18</v>
      </c>
    </row>
    <row r="320" spans="1:14" x14ac:dyDescent="0.3">
      <c r="A320">
        <v>100319</v>
      </c>
      <c r="B320">
        <v>9135601197</v>
      </c>
      <c r="C320" t="s">
        <v>332</v>
      </c>
      <c r="D320" t="s">
        <v>516</v>
      </c>
      <c r="E320" s="5">
        <v>45610</v>
      </c>
      <c r="F320" t="s">
        <v>518</v>
      </c>
      <c r="G320">
        <v>47182.25</v>
      </c>
      <c r="H320">
        <v>471445.6</v>
      </c>
      <c r="I320">
        <v>8.19</v>
      </c>
      <c r="J320">
        <v>500225.16</v>
      </c>
      <c r="K320">
        <v>6</v>
      </c>
      <c r="L320">
        <v>35211.72</v>
      </c>
      <c r="M320" t="s">
        <v>519</v>
      </c>
      <c r="N320">
        <v>18</v>
      </c>
    </row>
    <row r="321" spans="1:14" x14ac:dyDescent="0.3">
      <c r="A321">
        <v>100320</v>
      </c>
      <c r="B321">
        <v>5847937456</v>
      </c>
      <c r="C321" t="s">
        <v>333</v>
      </c>
      <c r="D321" t="s">
        <v>516</v>
      </c>
      <c r="E321" s="5">
        <v>45611</v>
      </c>
      <c r="F321" t="s">
        <v>518</v>
      </c>
      <c r="G321">
        <v>12414.29</v>
      </c>
      <c r="H321">
        <v>337600.6</v>
      </c>
      <c r="I321">
        <v>6.21</v>
      </c>
      <c r="J321">
        <v>730577.26</v>
      </c>
      <c r="K321">
        <v>3</v>
      </c>
      <c r="L321">
        <v>11530.91</v>
      </c>
      <c r="M321" t="s">
        <v>520</v>
      </c>
      <c r="N321">
        <v>18</v>
      </c>
    </row>
    <row r="322" spans="1:14" x14ac:dyDescent="0.3">
      <c r="A322">
        <v>100321</v>
      </c>
      <c r="B322">
        <v>6712733913</v>
      </c>
      <c r="C322" t="s">
        <v>334</v>
      </c>
      <c r="D322" t="s">
        <v>514</v>
      </c>
      <c r="E322" s="5">
        <v>45612</v>
      </c>
      <c r="F322" t="s">
        <v>517</v>
      </c>
      <c r="G322">
        <v>6514.32</v>
      </c>
      <c r="H322">
        <v>342548.28</v>
      </c>
      <c r="I322">
        <v>10.09</v>
      </c>
      <c r="J322">
        <v>307395.56</v>
      </c>
      <c r="K322">
        <v>13</v>
      </c>
      <c r="L322">
        <v>3056.24</v>
      </c>
      <c r="M322" t="s">
        <v>522</v>
      </c>
      <c r="N322">
        <v>18</v>
      </c>
    </row>
    <row r="323" spans="1:14" x14ac:dyDescent="0.3">
      <c r="A323">
        <v>100322</v>
      </c>
      <c r="B323">
        <v>2381187482</v>
      </c>
      <c r="C323" t="s">
        <v>335</v>
      </c>
      <c r="D323" t="s">
        <v>515</v>
      </c>
      <c r="E323" s="5">
        <v>45613</v>
      </c>
      <c r="F323" t="s">
        <v>518</v>
      </c>
      <c r="G323">
        <v>10274.790000000001</v>
      </c>
      <c r="H323">
        <v>187340.79999999999</v>
      </c>
      <c r="I323">
        <v>5.26</v>
      </c>
      <c r="J323">
        <v>242141.47</v>
      </c>
      <c r="K323">
        <v>16</v>
      </c>
      <c r="L323">
        <v>18818.62</v>
      </c>
      <c r="M323" t="s">
        <v>521</v>
      </c>
      <c r="N323">
        <v>18</v>
      </c>
    </row>
    <row r="324" spans="1:14" x14ac:dyDescent="0.3">
      <c r="A324">
        <v>100323</v>
      </c>
      <c r="B324">
        <v>1396385049</v>
      </c>
      <c r="C324" t="s">
        <v>336</v>
      </c>
      <c r="D324" t="s">
        <v>515</v>
      </c>
      <c r="E324" s="5">
        <v>45614</v>
      </c>
      <c r="F324" t="s">
        <v>518</v>
      </c>
      <c r="G324">
        <v>44402.78</v>
      </c>
      <c r="H324">
        <v>300893.78999999998</v>
      </c>
      <c r="I324">
        <v>8.08</v>
      </c>
      <c r="J324">
        <v>348135.47</v>
      </c>
      <c r="K324">
        <v>8</v>
      </c>
      <c r="L324">
        <v>5831.12</v>
      </c>
      <c r="M324" t="s">
        <v>519</v>
      </c>
      <c r="N324">
        <v>18</v>
      </c>
    </row>
    <row r="325" spans="1:14" x14ac:dyDescent="0.3">
      <c r="A325">
        <v>100324</v>
      </c>
      <c r="B325">
        <v>3066503726</v>
      </c>
      <c r="C325" t="s">
        <v>337</v>
      </c>
      <c r="D325" t="s">
        <v>514</v>
      </c>
      <c r="E325" s="5">
        <v>45615</v>
      </c>
      <c r="F325" t="s">
        <v>518</v>
      </c>
      <c r="G325">
        <v>32467.64</v>
      </c>
      <c r="H325">
        <v>14964.28</v>
      </c>
      <c r="I325">
        <v>6.23</v>
      </c>
      <c r="J325">
        <v>279425.59999999998</v>
      </c>
      <c r="K325">
        <v>15</v>
      </c>
      <c r="L325">
        <v>6707.41</v>
      </c>
      <c r="M325" t="s">
        <v>523</v>
      </c>
      <c r="N325">
        <v>18</v>
      </c>
    </row>
    <row r="326" spans="1:14" x14ac:dyDescent="0.3">
      <c r="A326">
        <v>100325</v>
      </c>
      <c r="B326">
        <v>3954012885</v>
      </c>
      <c r="C326" t="s">
        <v>338</v>
      </c>
      <c r="D326" t="s">
        <v>515</v>
      </c>
      <c r="E326" s="5">
        <v>45616</v>
      </c>
      <c r="F326" t="s">
        <v>518</v>
      </c>
      <c r="G326">
        <v>14652.39</v>
      </c>
      <c r="H326">
        <v>321687.06</v>
      </c>
      <c r="I326">
        <v>8.91</v>
      </c>
      <c r="J326">
        <v>254167.01</v>
      </c>
      <c r="K326">
        <v>17</v>
      </c>
      <c r="L326">
        <v>13458.8</v>
      </c>
      <c r="M326" t="s">
        <v>522</v>
      </c>
      <c r="N326">
        <v>18</v>
      </c>
    </row>
    <row r="327" spans="1:14" x14ac:dyDescent="0.3">
      <c r="A327">
        <v>100326</v>
      </c>
      <c r="B327">
        <v>5969181290</v>
      </c>
      <c r="C327" t="s">
        <v>339</v>
      </c>
      <c r="D327" t="s">
        <v>516</v>
      </c>
      <c r="E327" s="5">
        <v>45617</v>
      </c>
      <c r="F327" t="s">
        <v>518</v>
      </c>
      <c r="G327">
        <v>40889.370000000003</v>
      </c>
      <c r="H327">
        <v>457510.6</v>
      </c>
      <c r="I327">
        <v>5.16</v>
      </c>
      <c r="J327">
        <v>453608.3</v>
      </c>
      <c r="K327">
        <v>17</v>
      </c>
      <c r="L327">
        <v>15477.93</v>
      </c>
      <c r="M327" t="s">
        <v>523</v>
      </c>
      <c r="N327">
        <v>18</v>
      </c>
    </row>
    <row r="328" spans="1:14" x14ac:dyDescent="0.3">
      <c r="A328">
        <v>100327</v>
      </c>
      <c r="B328">
        <v>1011145552</v>
      </c>
      <c r="C328" t="s">
        <v>340</v>
      </c>
      <c r="D328" t="s">
        <v>515</v>
      </c>
      <c r="E328" s="5">
        <v>45618</v>
      </c>
      <c r="F328" t="s">
        <v>517</v>
      </c>
      <c r="G328">
        <v>43137.81</v>
      </c>
      <c r="H328">
        <v>310161</v>
      </c>
      <c r="I328">
        <v>4.72</v>
      </c>
      <c r="J328">
        <v>912446.59</v>
      </c>
      <c r="K328">
        <v>13</v>
      </c>
      <c r="L328">
        <v>26968.55</v>
      </c>
      <c r="M328" t="s">
        <v>523</v>
      </c>
      <c r="N328">
        <v>18</v>
      </c>
    </row>
    <row r="329" spans="1:14" x14ac:dyDescent="0.3">
      <c r="A329">
        <v>100328</v>
      </c>
      <c r="B329">
        <v>9024292131</v>
      </c>
      <c r="C329" t="s">
        <v>341</v>
      </c>
      <c r="D329" t="s">
        <v>516</v>
      </c>
      <c r="E329" s="5">
        <v>45619</v>
      </c>
      <c r="F329" t="s">
        <v>518</v>
      </c>
      <c r="G329">
        <v>42402.46</v>
      </c>
      <c r="H329">
        <v>438112.31</v>
      </c>
      <c r="I329">
        <v>11.26</v>
      </c>
      <c r="J329">
        <v>531706.66</v>
      </c>
      <c r="K329">
        <v>17</v>
      </c>
      <c r="L329">
        <v>34241.199999999997</v>
      </c>
      <c r="M329" t="s">
        <v>523</v>
      </c>
      <c r="N329">
        <v>18</v>
      </c>
    </row>
    <row r="330" spans="1:14" x14ac:dyDescent="0.3">
      <c r="A330">
        <v>100329</v>
      </c>
      <c r="B330">
        <v>1362997767</v>
      </c>
      <c r="C330" t="s">
        <v>342</v>
      </c>
      <c r="D330" t="s">
        <v>514</v>
      </c>
      <c r="E330" s="5">
        <v>45620</v>
      </c>
      <c r="F330" t="s">
        <v>518</v>
      </c>
      <c r="G330">
        <v>45986.86</v>
      </c>
      <c r="H330">
        <v>364746.8</v>
      </c>
      <c r="I330">
        <v>3.92</v>
      </c>
      <c r="J330">
        <v>228524.36</v>
      </c>
      <c r="K330">
        <v>6</v>
      </c>
      <c r="L330">
        <v>30045.78</v>
      </c>
      <c r="M330" t="s">
        <v>520</v>
      </c>
      <c r="N330">
        <v>18</v>
      </c>
    </row>
    <row r="331" spans="1:14" x14ac:dyDescent="0.3">
      <c r="A331">
        <v>100330</v>
      </c>
      <c r="B331">
        <v>3565289826</v>
      </c>
      <c r="C331" t="s">
        <v>343</v>
      </c>
      <c r="D331" t="s">
        <v>516</v>
      </c>
      <c r="E331" s="5">
        <v>45621</v>
      </c>
      <c r="F331" t="s">
        <v>517</v>
      </c>
      <c r="G331">
        <v>12985.93</v>
      </c>
      <c r="H331">
        <v>69073.62</v>
      </c>
      <c r="I331">
        <v>7.55</v>
      </c>
      <c r="J331">
        <v>123123.09</v>
      </c>
      <c r="K331">
        <v>17</v>
      </c>
      <c r="L331">
        <v>8269.66</v>
      </c>
      <c r="M331" t="s">
        <v>520</v>
      </c>
      <c r="N331">
        <v>18</v>
      </c>
    </row>
    <row r="332" spans="1:14" x14ac:dyDescent="0.3">
      <c r="A332">
        <v>100331</v>
      </c>
      <c r="B332">
        <v>5235941555</v>
      </c>
      <c r="C332" t="s">
        <v>344</v>
      </c>
      <c r="D332" t="s">
        <v>515</v>
      </c>
      <c r="E332" s="5">
        <v>45622</v>
      </c>
      <c r="F332" t="s">
        <v>517</v>
      </c>
      <c r="G332">
        <v>37874.58</v>
      </c>
      <c r="H332">
        <v>452202.12</v>
      </c>
      <c r="I332">
        <v>4.99</v>
      </c>
      <c r="J332">
        <v>711348.34</v>
      </c>
      <c r="K332">
        <v>16</v>
      </c>
      <c r="L332">
        <v>9432.2199999999993</v>
      </c>
      <c r="M332" t="s">
        <v>521</v>
      </c>
      <c r="N332">
        <v>18</v>
      </c>
    </row>
    <row r="333" spans="1:14" x14ac:dyDescent="0.3">
      <c r="A333">
        <v>100332</v>
      </c>
      <c r="B333">
        <v>6309080077</v>
      </c>
      <c r="C333" t="s">
        <v>345</v>
      </c>
      <c r="D333" t="s">
        <v>515</v>
      </c>
      <c r="E333" s="5">
        <v>45623</v>
      </c>
      <c r="F333" t="s">
        <v>517</v>
      </c>
      <c r="G333">
        <v>23296.71</v>
      </c>
      <c r="H333">
        <v>42557.48</v>
      </c>
      <c r="I333">
        <v>3.35</v>
      </c>
      <c r="J333">
        <v>413658.83</v>
      </c>
      <c r="K333">
        <v>14</v>
      </c>
      <c r="L333">
        <v>44059.69</v>
      </c>
      <c r="M333" t="s">
        <v>522</v>
      </c>
      <c r="N333">
        <v>18</v>
      </c>
    </row>
    <row r="334" spans="1:14" x14ac:dyDescent="0.3">
      <c r="A334">
        <v>100333</v>
      </c>
      <c r="B334">
        <v>8558950939</v>
      </c>
      <c r="C334" t="s">
        <v>346</v>
      </c>
      <c r="D334" t="s">
        <v>515</v>
      </c>
      <c r="E334" s="5">
        <v>45624</v>
      </c>
      <c r="F334" t="s">
        <v>518</v>
      </c>
      <c r="G334">
        <v>42178.93</v>
      </c>
      <c r="H334">
        <v>271644.06</v>
      </c>
      <c r="I334">
        <v>3.32</v>
      </c>
      <c r="J334">
        <v>830739.4</v>
      </c>
      <c r="K334">
        <v>13</v>
      </c>
      <c r="L334">
        <v>28359.26</v>
      </c>
      <c r="M334" t="s">
        <v>519</v>
      </c>
      <c r="N334">
        <v>18</v>
      </c>
    </row>
    <row r="335" spans="1:14" x14ac:dyDescent="0.3">
      <c r="A335">
        <v>100334</v>
      </c>
      <c r="B335">
        <v>1267754137</v>
      </c>
      <c r="C335" t="s">
        <v>347</v>
      </c>
      <c r="D335" t="s">
        <v>514</v>
      </c>
      <c r="E335" s="5">
        <v>45625</v>
      </c>
      <c r="F335" t="s">
        <v>517</v>
      </c>
      <c r="G335">
        <v>36560.29</v>
      </c>
      <c r="H335">
        <v>79647.19</v>
      </c>
      <c r="I335">
        <v>4.58</v>
      </c>
      <c r="J335">
        <v>676535.23</v>
      </c>
      <c r="K335">
        <v>6</v>
      </c>
      <c r="L335">
        <v>43626.95</v>
      </c>
      <c r="M335" t="s">
        <v>519</v>
      </c>
      <c r="N335">
        <v>18</v>
      </c>
    </row>
    <row r="336" spans="1:14" x14ac:dyDescent="0.3">
      <c r="A336">
        <v>100335</v>
      </c>
      <c r="B336">
        <v>5929501882</v>
      </c>
      <c r="C336" t="s">
        <v>348</v>
      </c>
      <c r="D336" t="s">
        <v>514</v>
      </c>
      <c r="E336" s="5">
        <v>45626</v>
      </c>
      <c r="F336" t="s">
        <v>518</v>
      </c>
      <c r="G336">
        <v>38934.15</v>
      </c>
      <c r="H336">
        <v>15736.24</v>
      </c>
      <c r="I336">
        <v>10.8</v>
      </c>
      <c r="J336">
        <v>806429.38</v>
      </c>
      <c r="K336">
        <v>3</v>
      </c>
      <c r="L336">
        <v>19205.78</v>
      </c>
      <c r="M336" t="s">
        <v>519</v>
      </c>
      <c r="N336">
        <v>18</v>
      </c>
    </row>
    <row r="337" spans="1:14" x14ac:dyDescent="0.3">
      <c r="A337">
        <v>100336</v>
      </c>
      <c r="B337">
        <v>8514544490</v>
      </c>
      <c r="C337" t="s">
        <v>349</v>
      </c>
      <c r="D337" t="s">
        <v>515</v>
      </c>
      <c r="E337" s="5">
        <v>45627</v>
      </c>
      <c r="F337" t="s">
        <v>518</v>
      </c>
      <c r="G337">
        <v>32980.01</v>
      </c>
      <c r="H337">
        <v>216796.79</v>
      </c>
      <c r="I337">
        <v>5.54</v>
      </c>
      <c r="J337">
        <v>308348.74</v>
      </c>
      <c r="K337">
        <v>14</v>
      </c>
      <c r="L337">
        <v>31105.599999999999</v>
      </c>
      <c r="M337" t="s">
        <v>523</v>
      </c>
      <c r="N337">
        <v>18</v>
      </c>
    </row>
    <row r="338" spans="1:14" x14ac:dyDescent="0.3">
      <c r="A338">
        <v>100337</v>
      </c>
      <c r="B338">
        <v>9720811515</v>
      </c>
      <c r="C338" t="s">
        <v>350</v>
      </c>
      <c r="D338" t="s">
        <v>516</v>
      </c>
      <c r="E338" s="5">
        <v>45628</v>
      </c>
      <c r="F338" t="s">
        <v>517</v>
      </c>
      <c r="G338">
        <v>9282.7199999999993</v>
      </c>
      <c r="H338">
        <v>154569.95000000001</v>
      </c>
      <c r="I338">
        <v>11.55</v>
      </c>
      <c r="J338">
        <v>707740.98</v>
      </c>
      <c r="K338">
        <v>14</v>
      </c>
      <c r="L338">
        <v>26659.51</v>
      </c>
      <c r="M338" t="s">
        <v>520</v>
      </c>
      <c r="N338">
        <v>18</v>
      </c>
    </row>
    <row r="339" spans="1:14" x14ac:dyDescent="0.3">
      <c r="A339">
        <v>100338</v>
      </c>
      <c r="B339">
        <v>4724659985</v>
      </c>
      <c r="C339" t="s">
        <v>351</v>
      </c>
      <c r="D339" t="s">
        <v>514</v>
      </c>
      <c r="E339" s="5">
        <v>45629</v>
      </c>
      <c r="F339" t="s">
        <v>517</v>
      </c>
      <c r="G339">
        <v>27478.83</v>
      </c>
      <c r="H339">
        <v>248140.24</v>
      </c>
      <c r="I339">
        <v>8.23</v>
      </c>
      <c r="J339">
        <v>300858.89</v>
      </c>
      <c r="K339">
        <v>15</v>
      </c>
      <c r="L339">
        <v>16637.05</v>
      </c>
      <c r="M339" t="s">
        <v>522</v>
      </c>
      <c r="N339">
        <v>18</v>
      </c>
    </row>
    <row r="340" spans="1:14" x14ac:dyDescent="0.3">
      <c r="A340">
        <v>100339</v>
      </c>
      <c r="B340">
        <v>6816015653</v>
      </c>
      <c r="C340" t="s">
        <v>352</v>
      </c>
      <c r="D340" t="s">
        <v>515</v>
      </c>
      <c r="E340" s="5">
        <v>45630</v>
      </c>
      <c r="F340" t="s">
        <v>518</v>
      </c>
      <c r="G340">
        <v>49241.15</v>
      </c>
      <c r="H340">
        <v>292827.94</v>
      </c>
      <c r="I340">
        <v>6.93</v>
      </c>
      <c r="J340">
        <v>942115.06</v>
      </c>
      <c r="K340">
        <v>8</v>
      </c>
      <c r="L340">
        <v>24025.85</v>
      </c>
      <c r="M340" t="s">
        <v>523</v>
      </c>
      <c r="N340">
        <v>18</v>
      </c>
    </row>
    <row r="341" spans="1:14" x14ac:dyDescent="0.3">
      <c r="A341">
        <v>100340</v>
      </c>
      <c r="B341">
        <v>4167131254</v>
      </c>
      <c r="C341" t="s">
        <v>353</v>
      </c>
      <c r="D341" t="s">
        <v>515</v>
      </c>
      <c r="E341" s="5">
        <v>45631</v>
      </c>
      <c r="F341" t="s">
        <v>517</v>
      </c>
      <c r="G341">
        <v>46900.71</v>
      </c>
      <c r="H341">
        <v>31432.15</v>
      </c>
      <c r="I341">
        <v>8.2200000000000006</v>
      </c>
      <c r="J341">
        <v>654555.56999999995</v>
      </c>
      <c r="K341">
        <v>15</v>
      </c>
      <c r="L341">
        <v>25622.05</v>
      </c>
      <c r="M341" t="s">
        <v>520</v>
      </c>
      <c r="N341">
        <v>18</v>
      </c>
    </row>
    <row r="342" spans="1:14" x14ac:dyDescent="0.3">
      <c r="A342">
        <v>100341</v>
      </c>
      <c r="B342">
        <v>1782903323</v>
      </c>
      <c r="C342" t="s">
        <v>354</v>
      </c>
      <c r="D342" t="s">
        <v>514</v>
      </c>
      <c r="E342" s="5">
        <v>45632</v>
      </c>
      <c r="F342" t="s">
        <v>518</v>
      </c>
      <c r="G342">
        <v>2637.1</v>
      </c>
      <c r="H342">
        <v>70271.61</v>
      </c>
      <c r="I342">
        <v>7.65</v>
      </c>
      <c r="J342">
        <v>358286.21</v>
      </c>
      <c r="K342">
        <v>13</v>
      </c>
      <c r="L342">
        <v>10837.78</v>
      </c>
      <c r="M342" t="s">
        <v>520</v>
      </c>
      <c r="N342">
        <v>18</v>
      </c>
    </row>
    <row r="343" spans="1:14" x14ac:dyDescent="0.3">
      <c r="A343">
        <v>100342</v>
      </c>
      <c r="B343">
        <v>7717178918</v>
      </c>
      <c r="C343" t="s">
        <v>355</v>
      </c>
      <c r="D343" t="s">
        <v>514</v>
      </c>
      <c r="E343" s="5">
        <v>45633</v>
      </c>
      <c r="F343" t="s">
        <v>517</v>
      </c>
      <c r="G343">
        <v>8658.33</v>
      </c>
      <c r="H343">
        <v>283734.77</v>
      </c>
      <c r="I343">
        <v>9.83</v>
      </c>
      <c r="J343">
        <v>306036.27</v>
      </c>
      <c r="K343">
        <v>17</v>
      </c>
      <c r="L343">
        <v>16435.509999999998</v>
      </c>
      <c r="M343" t="s">
        <v>522</v>
      </c>
      <c r="N343">
        <v>18</v>
      </c>
    </row>
    <row r="344" spans="1:14" x14ac:dyDescent="0.3">
      <c r="A344">
        <v>100343</v>
      </c>
      <c r="B344">
        <v>4610821904</v>
      </c>
      <c r="C344" t="s">
        <v>356</v>
      </c>
      <c r="D344" t="s">
        <v>514</v>
      </c>
      <c r="E344" s="5">
        <v>45634</v>
      </c>
      <c r="F344" t="s">
        <v>517</v>
      </c>
      <c r="G344">
        <v>7020.57</v>
      </c>
      <c r="H344">
        <v>178152</v>
      </c>
      <c r="I344">
        <v>5.54</v>
      </c>
      <c r="J344">
        <v>231380.26</v>
      </c>
      <c r="K344">
        <v>3</v>
      </c>
      <c r="L344">
        <v>39779.08</v>
      </c>
      <c r="M344" t="s">
        <v>522</v>
      </c>
      <c r="N344">
        <v>18</v>
      </c>
    </row>
    <row r="345" spans="1:14" x14ac:dyDescent="0.3">
      <c r="A345">
        <v>100344</v>
      </c>
      <c r="B345">
        <v>9973064277</v>
      </c>
      <c r="C345" t="s">
        <v>357</v>
      </c>
      <c r="D345" t="s">
        <v>516</v>
      </c>
      <c r="E345" s="5">
        <v>45635</v>
      </c>
      <c r="F345" t="s">
        <v>517</v>
      </c>
      <c r="G345">
        <v>36436.01</v>
      </c>
      <c r="H345">
        <v>367295.01</v>
      </c>
      <c r="I345">
        <v>6.18</v>
      </c>
      <c r="J345">
        <v>709908.91</v>
      </c>
      <c r="K345">
        <v>6</v>
      </c>
      <c r="L345">
        <v>45873.62</v>
      </c>
      <c r="M345" t="s">
        <v>522</v>
      </c>
      <c r="N345">
        <v>18</v>
      </c>
    </row>
    <row r="346" spans="1:14" x14ac:dyDescent="0.3">
      <c r="A346">
        <v>100345</v>
      </c>
      <c r="B346">
        <v>7594216061</v>
      </c>
      <c r="C346" t="s">
        <v>358</v>
      </c>
      <c r="D346" t="s">
        <v>516</v>
      </c>
      <c r="E346" s="5">
        <v>45636</v>
      </c>
      <c r="F346" t="s">
        <v>518</v>
      </c>
      <c r="G346">
        <v>40980.370000000003</v>
      </c>
      <c r="H346">
        <v>329622.90999999997</v>
      </c>
      <c r="I346">
        <v>11.05</v>
      </c>
      <c r="J346">
        <v>257779.83</v>
      </c>
      <c r="K346">
        <v>5</v>
      </c>
      <c r="L346">
        <v>18629.91</v>
      </c>
      <c r="M346" t="s">
        <v>523</v>
      </c>
      <c r="N346">
        <v>18</v>
      </c>
    </row>
    <row r="347" spans="1:14" x14ac:dyDescent="0.3">
      <c r="A347">
        <v>100346</v>
      </c>
      <c r="B347">
        <v>2472859660</v>
      </c>
      <c r="C347" t="s">
        <v>359</v>
      </c>
      <c r="D347" t="s">
        <v>515</v>
      </c>
      <c r="E347" s="5">
        <v>45637</v>
      </c>
      <c r="F347" t="s">
        <v>517</v>
      </c>
      <c r="G347">
        <v>11068.81</v>
      </c>
      <c r="H347">
        <v>424346.14</v>
      </c>
      <c r="I347">
        <v>11.52</v>
      </c>
      <c r="J347">
        <v>615538.1</v>
      </c>
      <c r="K347">
        <v>17</v>
      </c>
      <c r="L347">
        <v>16041.64</v>
      </c>
      <c r="M347" t="s">
        <v>521</v>
      </c>
      <c r="N347">
        <v>18</v>
      </c>
    </row>
    <row r="348" spans="1:14" x14ac:dyDescent="0.3">
      <c r="A348">
        <v>100347</v>
      </c>
      <c r="B348">
        <v>3059789457</v>
      </c>
      <c r="C348" t="s">
        <v>360</v>
      </c>
      <c r="D348" t="s">
        <v>514</v>
      </c>
      <c r="E348" s="5">
        <v>45638</v>
      </c>
      <c r="F348" t="s">
        <v>518</v>
      </c>
      <c r="G348">
        <v>25539.71</v>
      </c>
      <c r="H348">
        <v>349321.49</v>
      </c>
      <c r="I348">
        <v>11.03</v>
      </c>
      <c r="J348">
        <v>301403.28000000003</v>
      </c>
      <c r="K348">
        <v>2</v>
      </c>
      <c r="L348">
        <v>10564.66</v>
      </c>
      <c r="M348" t="s">
        <v>522</v>
      </c>
      <c r="N348">
        <v>18</v>
      </c>
    </row>
    <row r="349" spans="1:14" x14ac:dyDescent="0.3">
      <c r="A349">
        <v>100348</v>
      </c>
      <c r="B349">
        <v>7690452078</v>
      </c>
      <c r="C349" t="s">
        <v>361</v>
      </c>
      <c r="D349" t="s">
        <v>516</v>
      </c>
      <c r="E349" s="5">
        <v>45639</v>
      </c>
      <c r="F349" t="s">
        <v>518</v>
      </c>
      <c r="G349">
        <v>42114.8</v>
      </c>
      <c r="H349">
        <v>220666.23</v>
      </c>
      <c r="I349">
        <v>6.78</v>
      </c>
      <c r="J349">
        <v>678870.5</v>
      </c>
      <c r="K349">
        <v>15</v>
      </c>
      <c r="L349">
        <v>34246.07</v>
      </c>
      <c r="M349" t="s">
        <v>521</v>
      </c>
      <c r="N349">
        <v>18</v>
      </c>
    </row>
    <row r="350" spans="1:14" x14ac:dyDescent="0.3">
      <c r="A350">
        <v>100349</v>
      </c>
      <c r="B350">
        <v>3424330987</v>
      </c>
      <c r="C350" t="s">
        <v>362</v>
      </c>
      <c r="D350" t="s">
        <v>514</v>
      </c>
      <c r="E350" s="5">
        <v>45640</v>
      </c>
      <c r="F350" t="s">
        <v>518</v>
      </c>
      <c r="G350">
        <v>36773.68</v>
      </c>
      <c r="H350">
        <v>339753.64</v>
      </c>
      <c r="I350">
        <v>10.02</v>
      </c>
      <c r="J350">
        <v>824192.74</v>
      </c>
      <c r="K350">
        <v>5</v>
      </c>
      <c r="L350">
        <v>16831.89</v>
      </c>
      <c r="M350" t="s">
        <v>523</v>
      </c>
      <c r="N350">
        <v>18</v>
      </c>
    </row>
    <row r="351" spans="1:14" x14ac:dyDescent="0.3">
      <c r="A351">
        <v>100350</v>
      </c>
      <c r="B351">
        <v>2449323108</v>
      </c>
      <c r="C351" t="s">
        <v>363</v>
      </c>
      <c r="D351" t="s">
        <v>515</v>
      </c>
      <c r="E351" s="5">
        <v>45641</v>
      </c>
      <c r="F351" t="s">
        <v>518</v>
      </c>
      <c r="G351">
        <v>27340.74</v>
      </c>
      <c r="H351">
        <v>144936.78</v>
      </c>
      <c r="I351">
        <v>7.29</v>
      </c>
      <c r="J351">
        <v>789123.98</v>
      </c>
      <c r="K351">
        <v>6</v>
      </c>
      <c r="L351">
        <v>49399.73</v>
      </c>
      <c r="M351" t="s">
        <v>521</v>
      </c>
      <c r="N351">
        <v>18</v>
      </c>
    </row>
    <row r="352" spans="1:14" x14ac:dyDescent="0.3">
      <c r="A352">
        <v>100351</v>
      </c>
      <c r="B352">
        <v>9158923443</v>
      </c>
      <c r="C352" t="s">
        <v>364</v>
      </c>
      <c r="D352" t="s">
        <v>516</v>
      </c>
      <c r="E352" s="5">
        <v>45642</v>
      </c>
      <c r="F352" t="s">
        <v>517</v>
      </c>
      <c r="G352">
        <v>29722.21</v>
      </c>
      <c r="H352">
        <v>160093.60999999999</v>
      </c>
      <c r="I352">
        <v>7.48</v>
      </c>
      <c r="J352">
        <v>772808.76</v>
      </c>
      <c r="K352">
        <v>6</v>
      </c>
      <c r="L352">
        <v>16958.560000000001</v>
      </c>
      <c r="M352" t="s">
        <v>519</v>
      </c>
      <c r="N352">
        <v>18</v>
      </c>
    </row>
    <row r="353" spans="1:14" x14ac:dyDescent="0.3">
      <c r="A353">
        <v>100352</v>
      </c>
      <c r="B353">
        <v>7904397119</v>
      </c>
      <c r="C353" t="s">
        <v>365</v>
      </c>
      <c r="D353" t="s">
        <v>516</v>
      </c>
      <c r="E353" s="5">
        <v>45643</v>
      </c>
      <c r="F353" t="s">
        <v>518</v>
      </c>
      <c r="G353">
        <v>25663.85</v>
      </c>
      <c r="H353">
        <v>396602.73</v>
      </c>
      <c r="I353">
        <v>4.84</v>
      </c>
      <c r="J353">
        <v>228336.29</v>
      </c>
      <c r="K353">
        <v>18</v>
      </c>
      <c r="L353">
        <v>20312.669999999998</v>
      </c>
      <c r="M353" t="s">
        <v>521</v>
      </c>
      <c r="N353">
        <v>18</v>
      </c>
    </row>
    <row r="354" spans="1:14" x14ac:dyDescent="0.3">
      <c r="A354">
        <v>100353</v>
      </c>
      <c r="B354">
        <v>6344456122</v>
      </c>
      <c r="C354" t="s">
        <v>366</v>
      </c>
      <c r="D354" t="s">
        <v>516</v>
      </c>
      <c r="E354" s="5">
        <v>45644</v>
      </c>
      <c r="F354" t="s">
        <v>518</v>
      </c>
      <c r="G354">
        <v>15228.65</v>
      </c>
      <c r="H354">
        <v>228745.56</v>
      </c>
      <c r="I354">
        <v>8.32</v>
      </c>
      <c r="J354">
        <v>133965.70000000001</v>
      </c>
      <c r="K354">
        <v>18</v>
      </c>
      <c r="L354">
        <v>30563.38</v>
      </c>
      <c r="M354" t="s">
        <v>522</v>
      </c>
      <c r="N354">
        <v>18</v>
      </c>
    </row>
    <row r="355" spans="1:14" x14ac:dyDescent="0.3">
      <c r="A355">
        <v>100354</v>
      </c>
      <c r="B355">
        <v>2418835909</v>
      </c>
      <c r="C355" t="s">
        <v>367</v>
      </c>
      <c r="D355" t="s">
        <v>515</v>
      </c>
      <c r="E355" s="5">
        <v>45645</v>
      </c>
      <c r="F355" t="s">
        <v>517</v>
      </c>
      <c r="G355">
        <v>28468.59</v>
      </c>
      <c r="H355">
        <v>401206.37</v>
      </c>
      <c r="I355">
        <v>4.68</v>
      </c>
      <c r="J355">
        <v>714001.39</v>
      </c>
      <c r="K355">
        <v>4</v>
      </c>
      <c r="L355">
        <v>40282.53</v>
      </c>
      <c r="M355" t="s">
        <v>523</v>
      </c>
      <c r="N355">
        <v>18</v>
      </c>
    </row>
    <row r="356" spans="1:14" x14ac:dyDescent="0.3">
      <c r="A356">
        <v>100355</v>
      </c>
      <c r="B356">
        <v>5010175864</v>
      </c>
      <c r="C356" t="s">
        <v>368</v>
      </c>
      <c r="D356" t="s">
        <v>514</v>
      </c>
      <c r="E356" s="5">
        <v>45646</v>
      </c>
      <c r="F356" t="s">
        <v>518</v>
      </c>
      <c r="G356">
        <v>34599.82</v>
      </c>
      <c r="H356">
        <v>412986.96</v>
      </c>
      <c r="I356">
        <v>5.98</v>
      </c>
      <c r="J356">
        <v>399929.85</v>
      </c>
      <c r="K356">
        <v>17</v>
      </c>
      <c r="L356">
        <v>24006.41</v>
      </c>
      <c r="M356" t="s">
        <v>522</v>
      </c>
      <c r="N356">
        <v>18</v>
      </c>
    </row>
    <row r="357" spans="1:14" x14ac:dyDescent="0.3">
      <c r="A357">
        <v>100356</v>
      </c>
      <c r="B357">
        <v>1032359860</v>
      </c>
      <c r="C357" t="s">
        <v>369</v>
      </c>
      <c r="D357" t="s">
        <v>516</v>
      </c>
      <c r="E357" s="5">
        <v>45647</v>
      </c>
      <c r="F357" t="s">
        <v>517</v>
      </c>
      <c r="G357">
        <v>43729.48</v>
      </c>
      <c r="H357">
        <v>430205.55</v>
      </c>
      <c r="I357">
        <v>10.7</v>
      </c>
      <c r="J357">
        <v>460728.92</v>
      </c>
      <c r="K357">
        <v>14</v>
      </c>
      <c r="L357">
        <v>21710.15</v>
      </c>
      <c r="M357" t="s">
        <v>519</v>
      </c>
      <c r="N357">
        <v>18</v>
      </c>
    </row>
    <row r="358" spans="1:14" x14ac:dyDescent="0.3">
      <c r="A358">
        <v>100357</v>
      </c>
      <c r="B358">
        <v>6262764308</v>
      </c>
      <c r="C358" t="s">
        <v>370</v>
      </c>
      <c r="D358" t="s">
        <v>515</v>
      </c>
      <c r="E358" s="5">
        <v>45648</v>
      </c>
      <c r="F358" t="s">
        <v>518</v>
      </c>
      <c r="G358">
        <v>31996.42</v>
      </c>
      <c r="H358">
        <v>459151.27</v>
      </c>
      <c r="I358">
        <v>4.8600000000000003</v>
      </c>
      <c r="J358">
        <v>79591.64</v>
      </c>
      <c r="K358">
        <v>14</v>
      </c>
      <c r="L358">
        <v>49786.25</v>
      </c>
      <c r="M358" t="s">
        <v>522</v>
      </c>
      <c r="N358">
        <v>18</v>
      </c>
    </row>
    <row r="359" spans="1:14" x14ac:dyDescent="0.3">
      <c r="A359">
        <v>100358</v>
      </c>
      <c r="B359">
        <v>6864162885</v>
      </c>
      <c r="C359" t="s">
        <v>371</v>
      </c>
      <c r="D359" t="s">
        <v>514</v>
      </c>
      <c r="E359" s="5">
        <v>45649</v>
      </c>
      <c r="F359" t="s">
        <v>517</v>
      </c>
      <c r="G359">
        <v>38175.519999999997</v>
      </c>
      <c r="H359">
        <v>221182.76</v>
      </c>
      <c r="I359">
        <v>3.64</v>
      </c>
      <c r="J359">
        <v>296597.63</v>
      </c>
      <c r="K359">
        <v>13</v>
      </c>
      <c r="L359">
        <v>1514.19</v>
      </c>
      <c r="M359" t="s">
        <v>522</v>
      </c>
      <c r="N359">
        <v>18</v>
      </c>
    </row>
    <row r="360" spans="1:14" x14ac:dyDescent="0.3">
      <c r="A360">
        <v>100359</v>
      </c>
      <c r="B360">
        <v>9967409085</v>
      </c>
      <c r="C360" t="s">
        <v>372</v>
      </c>
      <c r="D360" t="s">
        <v>515</v>
      </c>
      <c r="E360" s="5">
        <v>45650</v>
      </c>
      <c r="F360" t="s">
        <v>518</v>
      </c>
      <c r="G360">
        <v>8423.5499999999993</v>
      </c>
      <c r="H360">
        <v>166244.74</v>
      </c>
      <c r="I360">
        <v>3.62</v>
      </c>
      <c r="J360">
        <v>81992.58</v>
      </c>
      <c r="K360">
        <v>7</v>
      </c>
      <c r="L360">
        <v>44858.2</v>
      </c>
      <c r="M360" t="s">
        <v>522</v>
      </c>
      <c r="N360">
        <v>18</v>
      </c>
    </row>
    <row r="361" spans="1:14" x14ac:dyDescent="0.3">
      <c r="A361">
        <v>100360</v>
      </c>
      <c r="B361">
        <v>8756130653</v>
      </c>
      <c r="C361" t="s">
        <v>373</v>
      </c>
      <c r="D361" t="s">
        <v>514</v>
      </c>
      <c r="E361" s="5">
        <v>45651</v>
      </c>
      <c r="F361" t="s">
        <v>517</v>
      </c>
      <c r="G361">
        <v>23347.09</v>
      </c>
      <c r="H361">
        <v>295277.39</v>
      </c>
      <c r="I361">
        <v>11.47</v>
      </c>
      <c r="J361">
        <v>885226.48</v>
      </c>
      <c r="K361">
        <v>12</v>
      </c>
      <c r="L361">
        <v>8307.9</v>
      </c>
      <c r="M361" t="s">
        <v>520</v>
      </c>
      <c r="N361">
        <v>18</v>
      </c>
    </row>
    <row r="362" spans="1:14" x14ac:dyDescent="0.3">
      <c r="A362">
        <v>100361</v>
      </c>
      <c r="B362">
        <v>9828964503</v>
      </c>
      <c r="C362" t="s">
        <v>374</v>
      </c>
      <c r="D362" t="s">
        <v>515</v>
      </c>
      <c r="E362" s="5">
        <v>45652</v>
      </c>
      <c r="F362" t="s">
        <v>518</v>
      </c>
      <c r="G362">
        <v>961.92</v>
      </c>
      <c r="H362">
        <v>191874.49</v>
      </c>
      <c r="I362">
        <v>7.56</v>
      </c>
      <c r="J362">
        <v>281226.84999999998</v>
      </c>
      <c r="K362">
        <v>15</v>
      </c>
      <c r="L362">
        <v>39510.339999999997</v>
      </c>
      <c r="M362" t="s">
        <v>519</v>
      </c>
      <c r="N362">
        <v>18</v>
      </c>
    </row>
    <row r="363" spans="1:14" x14ac:dyDescent="0.3">
      <c r="A363">
        <v>100362</v>
      </c>
      <c r="B363">
        <v>9811707266</v>
      </c>
      <c r="C363" t="s">
        <v>375</v>
      </c>
      <c r="D363" t="s">
        <v>514</v>
      </c>
      <c r="E363" s="5">
        <v>45653</v>
      </c>
      <c r="F363" t="s">
        <v>518</v>
      </c>
      <c r="G363">
        <v>12710.6</v>
      </c>
      <c r="H363">
        <v>304526.34000000003</v>
      </c>
      <c r="I363">
        <v>6.68</v>
      </c>
      <c r="J363">
        <v>579470.31000000006</v>
      </c>
      <c r="K363">
        <v>19</v>
      </c>
      <c r="L363">
        <v>31278.65</v>
      </c>
      <c r="M363" t="s">
        <v>522</v>
      </c>
      <c r="N363">
        <v>18</v>
      </c>
    </row>
    <row r="364" spans="1:14" x14ac:dyDescent="0.3">
      <c r="A364">
        <v>100363</v>
      </c>
      <c r="B364">
        <v>9668285470</v>
      </c>
      <c r="C364" t="s">
        <v>376</v>
      </c>
      <c r="D364" t="s">
        <v>516</v>
      </c>
      <c r="E364" s="5">
        <v>45654</v>
      </c>
      <c r="F364" t="s">
        <v>517</v>
      </c>
      <c r="G364">
        <v>36459.85</v>
      </c>
      <c r="H364">
        <v>355737.07</v>
      </c>
      <c r="I364">
        <v>10.3</v>
      </c>
      <c r="J364">
        <v>87030.35</v>
      </c>
      <c r="K364">
        <v>11</v>
      </c>
      <c r="L364">
        <v>17750.52</v>
      </c>
      <c r="M364" t="s">
        <v>522</v>
      </c>
      <c r="N364">
        <v>18</v>
      </c>
    </row>
    <row r="365" spans="1:14" x14ac:dyDescent="0.3">
      <c r="A365">
        <v>100364</v>
      </c>
      <c r="B365">
        <v>7768861651</v>
      </c>
      <c r="C365" t="s">
        <v>377</v>
      </c>
      <c r="D365" t="s">
        <v>514</v>
      </c>
      <c r="E365" s="5">
        <v>45655</v>
      </c>
      <c r="F365" t="s">
        <v>517</v>
      </c>
      <c r="G365">
        <v>49594.59</v>
      </c>
      <c r="H365">
        <v>347318.46</v>
      </c>
      <c r="I365">
        <v>10.52</v>
      </c>
      <c r="J365">
        <v>683505.02</v>
      </c>
      <c r="K365">
        <v>15</v>
      </c>
      <c r="L365">
        <v>43819.87</v>
      </c>
      <c r="M365" t="s">
        <v>522</v>
      </c>
      <c r="N365">
        <v>18</v>
      </c>
    </row>
    <row r="366" spans="1:14" x14ac:dyDescent="0.3">
      <c r="A366">
        <v>100365</v>
      </c>
      <c r="B366">
        <v>9482848885</v>
      </c>
      <c r="C366" t="s">
        <v>378</v>
      </c>
      <c r="D366" t="s">
        <v>515</v>
      </c>
      <c r="E366" s="5">
        <v>45656</v>
      </c>
      <c r="F366" t="s">
        <v>517</v>
      </c>
      <c r="G366">
        <v>5409.32</v>
      </c>
      <c r="H366">
        <v>193530.91</v>
      </c>
      <c r="I366">
        <v>5.99</v>
      </c>
      <c r="J366">
        <v>356875.98</v>
      </c>
      <c r="K366">
        <v>12</v>
      </c>
      <c r="L366">
        <v>1632.45</v>
      </c>
      <c r="M366" t="s">
        <v>523</v>
      </c>
      <c r="N366">
        <v>18</v>
      </c>
    </row>
    <row r="367" spans="1:14" x14ac:dyDescent="0.3">
      <c r="A367">
        <v>100366</v>
      </c>
      <c r="B367">
        <v>3107749981</v>
      </c>
      <c r="C367" t="s">
        <v>379</v>
      </c>
      <c r="D367" t="s">
        <v>515</v>
      </c>
      <c r="E367" s="5">
        <v>45657</v>
      </c>
      <c r="F367" t="s">
        <v>517</v>
      </c>
      <c r="G367">
        <v>20373.97</v>
      </c>
      <c r="H367">
        <v>91761.5</v>
      </c>
      <c r="I367">
        <v>9.24</v>
      </c>
      <c r="J367">
        <v>903023.23</v>
      </c>
      <c r="K367">
        <v>3</v>
      </c>
      <c r="L367">
        <v>12107.84</v>
      </c>
      <c r="M367" t="s">
        <v>520</v>
      </c>
      <c r="N367">
        <v>18</v>
      </c>
    </row>
    <row r="368" spans="1:14" x14ac:dyDescent="0.3">
      <c r="A368">
        <v>100367</v>
      </c>
      <c r="B368">
        <v>4085750465</v>
      </c>
      <c r="C368" t="s">
        <v>380</v>
      </c>
      <c r="D368" t="s">
        <v>514</v>
      </c>
      <c r="E368" s="5">
        <v>45658</v>
      </c>
      <c r="F368" t="s">
        <v>518</v>
      </c>
      <c r="G368">
        <v>40103.51</v>
      </c>
      <c r="H368">
        <v>220959.38</v>
      </c>
      <c r="I368">
        <v>9.94</v>
      </c>
      <c r="J368">
        <v>893712.28</v>
      </c>
      <c r="K368">
        <v>17</v>
      </c>
      <c r="L368">
        <v>28777.75</v>
      </c>
      <c r="M368" t="s">
        <v>523</v>
      </c>
      <c r="N368">
        <v>18</v>
      </c>
    </row>
    <row r="369" spans="1:14" x14ac:dyDescent="0.3">
      <c r="A369">
        <v>100368</v>
      </c>
      <c r="B369">
        <v>9452470169</v>
      </c>
      <c r="C369" t="s">
        <v>381</v>
      </c>
      <c r="D369" t="s">
        <v>516</v>
      </c>
      <c r="E369" s="5">
        <v>45659</v>
      </c>
      <c r="F369" t="s">
        <v>518</v>
      </c>
      <c r="G369">
        <v>10599.76</v>
      </c>
      <c r="H369">
        <v>79871.13</v>
      </c>
      <c r="I369">
        <v>8.89</v>
      </c>
      <c r="J369">
        <v>359026.09</v>
      </c>
      <c r="K369">
        <v>3</v>
      </c>
      <c r="L369">
        <v>18225.57</v>
      </c>
      <c r="M369" t="s">
        <v>520</v>
      </c>
      <c r="N369">
        <v>18</v>
      </c>
    </row>
    <row r="370" spans="1:14" x14ac:dyDescent="0.3">
      <c r="A370">
        <v>100369</v>
      </c>
      <c r="B370">
        <v>8348484931</v>
      </c>
      <c r="C370" t="s">
        <v>382</v>
      </c>
      <c r="D370" t="s">
        <v>516</v>
      </c>
      <c r="E370" s="5">
        <v>45660</v>
      </c>
      <c r="F370" t="s">
        <v>517</v>
      </c>
      <c r="G370">
        <v>27976.7</v>
      </c>
      <c r="H370">
        <v>446147.55</v>
      </c>
      <c r="I370">
        <v>4.3600000000000003</v>
      </c>
      <c r="J370">
        <v>905912.85</v>
      </c>
      <c r="K370">
        <v>19</v>
      </c>
      <c r="L370">
        <v>30908.5</v>
      </c>
      <c r="M370" t="s">
        <v>522</v>
      </c>
      <c r="N370">
        <v>18</v>
      </c>
    </row>
    <row r="371" spans="1:14" x14ac:dyDescent="0.3">
      <c r="A371">
        <v>100370</v>
      </c>
      <c r="B371">
        <v>4162157587</v>
      </c>
      <c r="C371" t="s">
        <v>383</v>
      </c>
      <c r="D371" t="s">
        <v>514</v>
      </c>
      <c r="E371" s="5">
        <v>45661</v>
      </c>
      <c r="F371" t="s">
        <v>518</v>
      </c>
      <c r="G371">
        <v>36787.03</v>
      </c>
      <c r="H371">
        <v>179479.96</v>
      </c>
      <c r="I371">
        <v>10.88</v>
      </c>
      <c r="J371">
        <v>996349.79</v>
      </c>
      <c r="K371">
        <v>4</v>
      </c>
      <c r="L371">
        <v>2181.4</v>
      </c>
      <c r="M371" t="s">
        <v>519</v>
      </c>
      <c r="N371">
        <v>18</v>
      </c>
    </row>
    <row r="372" spans="1:14" x14ac:dyDescent="0.3">
      <c r="A372">
        <v>100371</v>
      </c>
      <c r="B372">
        <v>3275645579</v>
      </c>
      <c r="C372" t="s">
        <v>384</v>
      </c>
      <c r="D372" t="s">
        <v>514</v>
      </c>
      <c r="E372" s="5">
        <v>45662</v>
      </c>
      <c r="F372" t="s">
        <v>517</v>
      </c>
      <c r="G372">
        <v>30991.279999999999</v>
      </c>
      <c r="H372">
        <v>85685.28</v>
      </c>
      <c r="I372">
        <v>7.85</v>
      </c>
      <c r="J372">
        <v>834144.88</v>
      </c>
      <c r="K372">
        <v>3</v>
      </c>
      <c r="L372">
        <v>6706.49</v>
      </c>
      <c r="M372" t="s">
        <v>521</v>
      </c>
      <c r="N372">
        <v>18</v>
      </c>
    </row>
    <row r="373" spans="1:14" x14ac:dyDescent="0.3">
      <c r="A373">
        <v>100372</v>
      </c>
      <c r="B373">
        <v>8592555149</v>
      </c>
      <c r="C373" t="s">
        <v>385</v>
      </c>
      <c r="D373" t="s">
        <v>515</v>
      </c>
      <c r="E373" s="5">
        <v>45663</v>
      </c>
      <c r="F373" t="s">
        <v>517</v>
      </c>
      <c r="G373">
        <v>9807.2199999999993</v>
      </c>
      <c r="H373">
        <v>22469.4</v>
      </c>
      <c r="I373">
        <v>5.54</v>
      </c>
      <c r="J373">
        <v>852627.78</v>
      </c>
      <c r="K373">
        <v>16</v>
      </c>
      <c r="L373">
        <v>7227.72</v>
      </c>
      <c r="M373" t="s">
        <v>521</v>
      </c>
      <c r="N373">
        <v>18</v>
      </c>
    </row>
    <row r="374" spans="1:14" x14ac:dyDescent="0.3">
      <c r="A374">
        <v>100373</v>
      </c>
      <c r="B374">
        <v>3173699965</v>
      </c>
      <c r="C374" t="s">
        <v>386</v>
      </c>
      <c r="D374" t="s">
        <v>516</v>
      </c>
      <c r="E374" s="5">
        <v>45664</v>
      </c>
      <c r="F374" t="s">
        <v>518</v>
      </c>
      <c r="G374">
        <v>18091.54</v>
      </c>
      <c r="H374">
        <v>326452.96999999997</v>
      </c>
      <c r="I374">
        <v>6.83</v>
      </c>
      <c r="J374">
        <v>286558.3</v>
      </c>
      <c r="K374">
        <v>12</v>
      </c>
      <c r="L374">
        <v>10274.9</v>
      </c>
      <c r="M374" t="s">
        <v>522</v>
      </c>
      <c r="N374">
        <v>18</v>
      </c>
    </row>
    <row r="375" spans="1:14" x14ac:dyDescent="0.3">
      <c r="A375">
        <v>100374</v>
      </c>
      <c r="B375">
        <v>2585832837</v>
      </c>
      <c r="C375" t="s">
        <v>387</v>
      </c>
      <c r="D375" t="s">
        <v>514</v>
      </c>
      <c r="E375" s="5">
        <v>45665</v>
      </c>
      <c r="F375" t="s">
        <v>518</v>
      </c>
      <c r="G375">
        <v>39297.69</v>
      </c>
      <c r="H375">
        <v>322082.14</v>
      </c>
      <c r="I375">
        <v>3.34</v>
      </c>
      <c r="J375">
        <v>597867.28</v>
      </c>
      <c r="K375">
        <v>8</v>
      </c>
      <c r="L375">
        <v>23507.24</v>
      </c>
      <c r="M375" t="s">
        <v>523</v>
      </c>
      <c r="N375">
        <v>18</v>
      </c>
    </row>
    <row r="376" spans="1:14" x14ac:dyDescent="0.3">
      <c r="A376">
        <v>100375</v>
      </c>
      <c r="B376">
        <v>7246033399</v>
      </c>
      <c r="C376" t="s">
        <v>388</v>
      </c>
      <c r="D376" t="s">
        <v>516</v>
      </c>
      <c r="E376" s="5">
        <v>45666</v>
      </c>
      <c r="F376" t="s">
        <v>518</v>
      </c>
      <c r="G376">
        <v>27934.21</v>
      </c>
      <c r="H376">
        <v>176896.04</v>
      </c>
      <c r="I376">
        <v>4.1500000000000004</v>
      </c>
      <c r="J376">
        <v>113893.12</v>
      </c>
      <c r="K376">
        <v>17</v>
      </c>
      <c r="L376">
        <v>37854.31</v>
      </c>
      <c r="M376" t="s">
        <v>519</v>
      </c>
      <c r="N376">
        <v>18</v>
      </c>
    </row>
    <row r="377" spans="1:14" x14ac:dyDescent="0.3">
      <c r="A377">
        <v>100376</v>
      </c>
      <c r="B377">
        <v>7651199748</v>
      </c>
      <c r="C377" t="s">
        <v>389</v>
      </c>
      <c r="D377" t="s">
        <v>514</v>
      </c>
      <c r="E377" s="5">
        <v>45667</v>
      </c>
      <c r="F377" t="s">
        <v>518</v>
      </c>
      <c r="G377">
        <v>758.87</v>
      </c>
      <c r="H377">
        <v>45138.83</v>
      </c>
      <c r="I377">
        <v>9.89</v>
      </c>
      <c r="J377">
        <v>140172.04</v>
      </c>
      <c r="K377">
        <v>7</v>
      </c>
      <c r="L377">
        <v>45371.4</v>
      </c>
      <c r="M377" t="s">
        <v>520</v>
      </c>
      <c r="N377">
        <v>18</v>
      </c>
    </row>
    <row r="378" spans="1:14" x14ac:dyDescent="0.3">
      <c r="A378">
        <v>100377</v>
      </c>
      <c r="B378">
        <v>3940212391</v>
      </c>
      <c r="C378" t="s">
        <v>390</v>
      </c>
      <c r="D378" t="s">
        <v>514</v>
      </c>
      <c r="E378" s="5">
        <v>45668</v>
      </c>
      <c r="F378" t="s">
        <v>518</v>
      </c>
      <c r="G378">
        <v>38169.040000000001</v>
      </c>
      <c r="H378">
        <v>210718.16</v>
      </c>
      <c r="I378">
        <v>3</v>
      </c>
      <c r="J378">
        <v>998947.98</v>
      </c>
      <c r="K378">
        <v>11</v>
      </c>
      <c r="L378">
        <v>41933.25</v>
      </c>
      <c r="M378" t="s">
        <v>522</v>
      </c>
      <c r="N378">
        <v>18</v>
      </c>
    </row>
    <row r="379" spans="1:14" x14ac:dyDescent="0.3">
      <c r="A379">
        <v>100378</v>
      </c>
      <c r="B379">
        <v>5672357971</v>
      </c>
      <c r="C379" t="s">
        <v>391</v>
      </c>
      <c r="D379" t="s">
        <v>516</v>
      </c>
      <c r="E379" s="5">
        <v>45669</v>
      </c>
      <c r="F379" t="s">
        <v>518</v>
      </c>
      <c r="G379">
        <v>2247.91</v>
      </c>
      <c r="H379">
        <v>162496.57</v>
      </c>
      <c r="I379">
        <v>6.75</v>
      </c>
      <c r="J379">
        <v>360307.29</v>
      </c>
      <c r="K379">
        <v>18</v>
      </c>
      <c r="L379">
        <v>10647.51</v>
      </c>
      <c r="M379" t="s">
        <v>519</v>
      </c>
      <c r="N379">
        <v>18</v>
      </c>
    </row>
    <row r="380" spans="1:14" x14ac:dyDescent="0.3">
      <c r="A380">
        <v>100379</v>
      </c>
      <c r="B380">
        <v>1596247870</v>
      </c>
      <c r="C380" t="s">
        <v>392</v>
      </c>
      <c r="D380" t="s">
        <v>514</v>
      </c>
      <c r="E380" s="5">
        <v>45670</v>
      </c>
      <c r="F380" t="s">
        <v>518</v>
      </c>
      <c r="G380">
        <v>37413.82</v>
      </c>
      <c r="H380">
        <v>341789.11</v>
      </c>
      <c r="I380">
        <v>7.7</v>
      </c>
      <c r="J380">
        <v>760774.72</v>
      </c>
      <c r="K380">
        <v>1</v>
      </c>
      <c r="L380">
        <v>22616.38</v>
      </c>
      <c r="M380" t="s">
        <v>519</v>
      </c>
      <c r="N380">
        <v>18</v>
      </c>
    </row>
    <row r="381" spans="1:14" x14ac:dyDescent="0.3">
      <c r="A381">
        <v>100380</v>
      </c>
      <c r="B381">
        <v>1011643208</v>
      </c>
      <c r="C381" t="s">
        <v>393</v>
      </c>
      <c r="D381" t="s">
        <v>514</v>
      </c>
      <c r="E381" s="5">
        <v>45671</v>
      </c>
      <c r="F381" t="s">
        <v>517</v>
      </c>
      <c r="G381">
        <v>10522.79</v>
      </c>
      <c r="H381">
        <v>306831.83</v>
      </c>
      <c r="I381">
        <v>3.49</v>
      </c>
      <c r="J381">
        <v>816331.8</v>
      </c>
      <c r="K381">
        <v>3</v>
      </c>
      <c r="L381">
        <v>10771.17</v>
      </c>
      <c r="M381" t="s">
        <v>520</v>
      </c>
      <c r="N381">
        <v>18</v>
      </c>
    </row>
    <row r="382" spans="1:14" x14ac:dyDescent="0.3">
      <c r="A382">
        <v>100381</v>
      </c>
      <c r="B382">
        <v>1501205768</v>
      </c>
      <c r="C382" t="s">
        <v>394</v>
      </c>
      <c r="D382" t="s">
        <v>515</v>
      </c>
      <c r="E382" s="5">
        <v>45672</v>
      </c>
      <c r="F382" t="s">
        <v>517</v>
      </c>
      <c r="G382">
        <v>47924.639999999999</v>
      </c>
      <c r="H382">
        <v>188650.93</v>
      </c>
      <c r="I382">
        <v>11.76</v>
      </c>
      <c r="J382">
        <v>865122.11</v>
      </c>
      <c r="K382">
        <v>4</v>
      </c>
      <c r="L382">
        <v>13959.12</v>
      </c>
      <c r="M382" t="s">
        <v>519</v>
      </c>
      <c r="N382">
        <v>18</v>
      </c>
    </row>
    <row r="383" spans="1:14" x14ac:dyDescent="0.3">
      <c r="A383">
        <v>100382</v>
      </c>
      <c r="B383">
        <v>5753237086</v>
      </c>
      <c r="C383" t="s">
        <v>395</v>
      </c>
      <c r="D383" t="s">
        <v>514</v>
      </c>
      <c r="E383" s="5">
        <v>45673</v>
      </c>
      <c r="F383" t="s">
        <v>517</v>
      </c>
      <c r="G383">
        <v>18713.07</v>
      </c>
      <c r="H383">
        <v>116767.35</v>
      </c>
      <c r="I383">
        <v>5.04</v>
      </c>
      <c r="J383">
        <v>997746.88</v>
      </c>
      <c r="K383">
        <v>13</v>
      </c>
      <c r="L383">
        <v>25673.8</v>
      </c>
      <c r="M383" t="s">
        <v>523</v>
      </c>
      <c r="N383">
        <v>18</v>
      </c>
    </row>
    <row r="384" spans="1:14" x14ac:dyDescent="0.3">
      <c r="A384">
        <v>100383</v>
      </c>
      <c r="B384">
        <v>4653846596</v>
      </c>
      <c r="C384" t="s">
        <v>396</v>
      </c>
      <c r="D384" t="s">
        <v>514</v>
      </c>
      <c r="E384" s="5">
        <v>45674</v>
      </c>
      <c r="F384" t="s">
        <v>517</v>
      </c>
      <c r="G384">
        <v>16683.12</v>
      </c>
      <c r="H384">
        <v>494137.62</v>
      </c>
      <c r="I384">
        <v>5.74</v>
      </c>
      <c r="J384">
        <v>279421.65999999997</v>
      </c>
      <c r="K384">
        <v>6</v>
      </c>
      <c r="L384">
        <v>4337.34</v>
      </c>
      <c r="M384" t="s">
        <v>523</v>
      </c>
      <c r="N384">
        <v>18</v>
      </c>
    </row>
    <row r="385" spans="1:14" x14ac:dyDescent="0.3">
      <c r="A385">
        <v>100384</v>
      </c>
      <c r="B385">
        <v>8498903483</v>
      </c>
      <c r="C385" t="s">
        <v>397</v>
      </c>
      <c r="D385" t="s">
        <v>514</v>
      </c>
      <c r="E385" s="5">
        <v>45675</v>
      </c>
      <c r="F385" t="s">
        <v>517</v>
      </c>
      <c r="G385">
        <v>7869.96</v>
      </c>
      <c r="H385">
        <v>232460.79</v>
      </c>
      <c r="I385">
        <v>5.74</v>
      </c>
      <c r="J385">
        <v>88333.29</v>
      </c>
      <c r="K385">
        <v>14</v>
      </c>
      <c r="L385">
        <v>11690.54</v>
      </c>
      <c r="M385" t="s">
        <v>523</v>
      </c>
      <c r="N385">
        <v>18</v>
      </c>
    </row>
    <row r="386" spans="1:14" x14ac:dyDescent="0.3">
      <c r="A386">
        <v>100385</v>
      </c>
      <c r="B386">
        <v>9301905780</v>
      </c>
      <c r="C386" t="s">
        <v>398</v>
      </c>
      <c r="D386" t="s">
        <v>515</v>
      </c>
      <c r="E386" s="5">
        <v>45676</v>
      </c>
      <c r="F386" t="s">
        <v>518</v>
      </c>
      <c r="G386">
        <v>15627.41</v>
      </c>
      <c r="H386">
        <v>347254.38</v>
      </c>
      <c r="I386">
        <v>5.07</v>
      </c>
      <c r="J386">
        <v>440631.94</v>
      </c>
      <c r="K386">
        <v>5</v>
      </c>
      <c r="L386">
        <v>46833.53</v>
      </c>
      <c r="M386" t="s">
        <v>519</v>
      </c>
      <c r="N386">
        <v>18</v>
      </c>
    </row>
    <row r="387" spans="1:14" x14ac:dyDescent="0.3">
      <c r="A387">
        <v>100386</v>
      </c>
      <c r="B387">
        <v>1880476065</v>
      </c>
      <c r="C387" t="s">
        <v>399</v>
      </c>
      <c r="D387" t="s">
        <v>516</v>
      </c>
      <c r="E387" s="5">
        <v>45677</v>
      </c>
      <c r="F387" t="s">
        <v>517</v>
      </c>
      <c r="G387">
        <v>43894.21</v>
      </c>
      <c r="H387">
        <v>78870.95</v>
      </c>
      <c r="I387">
        <v>3.01</v>
      </c>
      <c r="J387">
        <v>173576.64</v>
      </c>
      <c r="K387">
        <v>16</v>
      </c>
      <c r="L387">
        <v>23839.7</v>
      </c>
      <c r="M387" t="s">
        <v>523</v>
      </c>
      <c r="N387">
        <v>18</v>
      </c>
    </row>
    <row r="388" spans="1:14" x14ac:dyDescent="0.3">
      <c r="A388">
        <v>100387</v>
      </c>
      <c r="B388">
        <v>5501532219</v>
      </c>
      <c r="C388" t="s">
        <v>400</v>
      </c>
      <c r="D388" t="s">
        <v>515</v>
      </c>
      <c r="E388" s="5">
        <v>45678</v>
      </c>
      <c r="F388" t="s">
        <v>517</v>
      </c>
      <c r="G388">
        <v>49818.55</v>
      </c>
      <c r="H388">
        <v>247938.95</v>
      </c>
      <c r="I388">
        <v>9.56</v>
      </c>
      <c r="J388">
        <v>71304.59</v>
      </c>
      <c r="K388">
        <v>15</v>
      </c>
      <c r="L388">
        <v>22823.94</v>
      </c>
      <c r="M388" t="s">
        <v>520</v>
      </c>
      <c r="N388">
        <v>18</v>
      </c>
    </row>
    <row r="389" spans="1:14" x14ac:dyDescent="0.3">
      <c r="A389">
        <v>100388</v>
      </c>
      <c r="B389">
        <v>4223381220</v>
      </c>
      <c r="C389" t="s">
        <v>401</v>
      </c>
      <c r="D389" t="s">
        <v>515</v>
      </c>
      <c r="E389" s="5">
        <v>45679</v>
      </c>
      <c r="F389" t="s">
        <v>517</v>
      </c>
      <c r="G389">
        <v>18731.32</v>
      </c>
      <c r="H389">
        <v>23492.99</v>
      </c>
      <c r="I389">
        <v>11.7</v>
      </c>
      <c r="J389">
        <v>392405.49</v>
      </c>
      <c r="K389">
        <v>15</v>
      </c>
      <c r="L389">
        <v>1713.79</v>
      </c>
      <c r="M389" t="s">
        <v>519</v>
      </c>
      <c r="N389">
        <v>18</v>
      </c>
    </row>
    <row r="390" spans="1:14" x14ac:dyDescent="0.3">
      <c r="A390">
        <v>100389</v>
      </c>
      <c r="B390">
        <v>8728953147</v>
      </c>
      <c r="C390" t="s">
        <v>402</v>
      </c>
      <c r="D390" t="s">
        <v>516</v>
      </c>
      <c r="E390" s="5">
        <v>45680</v>
      </c>
      <c r="F390" t="s">
        <v>517</v>
      </c>
      <c r="G390">
        <v>22706.23</v>
      </c>
      <c r="H390">
        <v>257673.01</v>
      </c>
      <c r="I390">
        <v>5.0199999999999996</v>
      </c>
      <c r="J390">
        <v>794551.34</v>
      </c>
      <c r="K390">
        <v>4</v>
      </c>
      <c r="L390">
        <v>13122.59</v>
      </c>
      <c r="M390" t="s">
        <v>521</v>
      </c>
      <c r="N390">
        <v>18</v>
      </c>
    </row>
    <row r="391" spans="1:14" x14ac:dyDescent="0.3">
      <c r="A391">
        <v>100390</v>
      </c>
      <c r="B391">
        <v>8838885154</v>
      </c>
      <c r="C391" t="s">
        <v>403</v>
      </c>
      <c r="D391" t="s">
        <v>515</v>
      </c>
      <c r="E391" s="5">
        <v>45681</v>
      </c>
      <c r="F391" t="s">
        <v>517</v>
      </c>
      <c r="G391">
        <v>36242.51</v>
      </c>
      <c r="H391">
        <v>482368.53</v>
      </c>
      <c r="I391">
        <v>8.9700000000000006</v>
      </c>
      <c r="J391">
        <v>587871.66</v>
      </c>
      <c r="K391">
        <v>8</v>
      </c>
      <c r="L391">
        <v>43448.33</v>
      </c>
      <c r="M391" t="s">
        <v>519</v>
      </c>
      <c r="N391">
        <v>18</v>
      </c>
    </row>
    <row r="392" spans="1:14" x14ac:dyDescent="0.3">
      <c r="A392">
        <v>100391</v>
      </c>
      <c r="B392">
        <v>1800603300</v>
      </c>
      <c r="C392" t="s">
        <v>404</v>
      </c>
      <c r="D392" t="s">
        <v>516</v>
      </c>
      <c r="E392" s="5">
        <v>45682</v>
      </c>
      <c r="F392" t="s">
        <v>517</v>
      </c>
      <c r="G392">
        <v>44366.69</v>
      </c>
      <c r="H392">
        <v>198261.29</v>
      </c>
      <c r="I392">
        <v>9.68</v>
      </c>
      <c r="J392">
        <v>347139.09</v>
      </c>
      <c r="K392">
        <v>16</v>
      </c>
      <c r="L392">
        <v>9066.7900000000009</v>
      </c>
      <c r="M392" t="s">
        <v>520</v>
      </c>
      <c r="N392">
        <v>18</v>
      </c>
    </row>
    <row r="393" spans="1:14" x14ac:dyDescent="0.3">
      <c r="A393">
        <v>100392</v>
      </c>
      <c r="B393">
        <v>2012288338</v>
      </c>
      <c r="C393" t="s">
        <v>405</v>
      </c>
      <c r="D393" t="s">
        <v>515</v>
      </c>
      <c r="E393" s="5">
        <v>45683</v>
      </c>
      <c r="F393" t="s">
        <v>517</v>
      </c>
      <c r="G393">
        <v>29855.69</v>
      </c>
      <c r="H393">
        <v>29108.05</v>
      </c>
      <c r="I393">
        <v>10.64</v>
      </c>
      <c r="J393">
        <v>671624.91</v>
      </c>
      <c r="K393">
        <v>16</v>
      </c>
      <c r="L393">
        <v>21341.119999999999</v>
      </c>
      <c r="M393" t="s">
        <v>521</v>
      </c>
      <c r="N393">
        <v>18</v>
      </c>
    </row>
    <row r="394" spans="1:14" x14ac:dyDescent="0.3">
      <c r="A394">
        <v>100393</v>
      </c>
      <c r="B394">
        <v>9194222653</v>
      </c>
      <c r="C394" t="s">
        <v>406</v>
      </c>
      <c r="D394" t="s">
        <v>516</v>
      </c>
      <c r="E394" s="5">
        <v>45684</v>
      </c>
      <c r="F394" t="s">
        <v>518</v>
      </c>
      <c r="G394">
        <v>19880.52</v>
      </c>
      <c r="H394">
        <v>25168.34</v>
      </c>
      <c r="I394">
        <v>6.8</v>
      </c>
      <c r="J394">
        <v>270417.27</v>
      </c>
      <c r="K394">
        <v>4</v>
      </c>
      <c r="L394">
        <v>1702.21</v>
      </c>
      <c r="M394" t="s">
        <v>519</v>
      </c>
      <c r="N394">
        <v>18</v>
      </c>
    </row>
    <row r="395" spans="1:14" x14ac:dyDescent="0.3">
      <c r="A395">
        <v>100394</v>
      </c>
      <c r="B395">
        <v>3526757929</v>
      </c>
      <c r="C395" t="s">
        <v>407</v>
      </c>
      <c r="D395" t="s">
        <v>514</v>
      </c>
      <c r="E395" s="5">
        <v>45685</v>
      </c>
      <c r="F395" t="s">
        <v>518</v>
      </c>
      <c r="G395">
        <v>20924.78</v>
      </c>
      <c r="H395">
        <v>200113.51</v>
      </c>
      <c r="I395">
        <v>5.73</v>
      </c>
      <c r="J395">
        <v>63662.37</v>
      </c>
      <c r="K395">
        <v>13</v>
      </c>
      <c r="L395">
        <v>24438.44</v>
      </c>
      <c r="M395" t="s">
        <v>523</v>
      </c>
      <c r="N395">
        <v>18</v>
      </c>
    </row>
    <row r="396" spans="1:14" x14ac:dyDescent="0.3">
      <c r="A396">
        <v>100395</v>
      </c>
      <c r="B396">
        <v>3933385617</v>
      </c>
      <c r="C396" t="s">
        <v>408</v>
      </c>
      <c r="D396" t="s">
        <v>515</v>
      </c>
      <c r="E396" s="5">
        <v>45686</v>
      </c>
      <c r="F396" t="s">
        <v>517</v>
      </c>
      <c r="G396">
        <v>34933.1</v>
      </c>
      <c r="H396">
        <v>88412.22</v>
      </c>
      <c r="I396">
        <v>5.93</v>
      </c>
      <c r="J396">
        <v>776135.72</v>
      </c>
      <c r="K396">
        <v>13</v>
      </c>
      <c r="L396">
        <v>2030.03</v>
      </c>
      <c r="M396" t="s">
        <v>522</v>
      </c>
      <c r="N396">
        <v>18</v>
      </c>
    </row>
    <row r="397" spans="1:14" x14ac:dyDescent="0.3">
      <c r="A397">
        <v>100396</v>
      </c>
      <c r="B397">
        <v>9159009567</v>
      </c>
      <c r="C397" t="s">
        <v>409</v>
      </c>
      <c r="D397" t="s">
        <v>515</v>
      </c>
      <c r="E397" s="5">
        <v>45687</v>
      </c>
      <c r="F397" t="s">
        <v>518</v>
      </c>
      <c r="G397">
        <v>659.3</v>
      </c>
      <c r="H397">
        <v>21442.53</v>
      </c>
      <c r="I397">
        <v>9.41</v>
      </c>
      <c r="J397">
        <v>642555.93000000005</v>
      </c>
      <c r="K397">
        <v>2</v>
      </c>
      <c r="L397">
        <v>41160.870000000003</v>
      </c>
      <c r="M397" t="s">
        <v>522</v>
      </c>
      <c r="N397">
        <v>18</v>
      </c>
    </row>
    <row r="398" spans="1:14" x14ac:dyDescent="0.3">
      <c r="A398">
        <v>100397</v>
      </c>
      <c r="B398">
        <v>7613309280</v>
      </c>
      <c r="C398" t="s">
        <v>410</v>
      </c>
      <c r="D398" t="s">
        <v>515</v>
      </c>
      <c r="E398" s="5">
        <v>45688</v>
      </c>
      <c r="F398" t="s">
        <v>518</v>
      </c>
      <c r="G398">
        <v>31169.67</v>
      </c>
      <c r="H398">
        <v>380544.67</v>
      </c>
      <c r="I398">
        <v>10.35</v>
      </c>
      <c r="J398">
        <v>774187.49</v>
      </c>
      <c r="K398">
        <v>3</v>
      </c>
      <c r="L398">
        <v>41417.83</v>
      </c>
      <c r="M398" t="s">
        <v>523</v>
      </c>
      <c r="N398">
        <v>18</v>
      </c>
    </row>
    <row r="399" spans="1:14" x14ac:dyDescent="0.3">
      <c r="A399">
        <v>100398</v>
      </c>
      <c r="B399">
        <v>2526270096</v>
      </c>
      <c r="C399" t="s">
        <v>411</v>
      </c>
      <c r="D399" t="s">
        <v>515</v>
      </c>
      <c r="E399" s="5">
        <v>45689</v>
      </c>
      <c r="F399" t="s">
        <v>518</v>
      </c>
      <c r="G399">
        <v>18096.900000000001</v>
      </c>
      <c r="H399">
        <v>234676.27</v>
      </c>
      <c r="I399">
        <v>4.63</v>
      </c>
      <c r="J399">
        <v>86991.12</v>
      </c>
      <c r="K399">
        <v>8</v>
      </c>
      <c r="L399">
        <v>39599.370000000003</v>
      </c>
      <c r="M399" t="s">
        <v>522</v>
      </c>
      <c r="N399">
        <v>18</v>
      </c>
    </row>
    <row r="400" spans="1:14" x14ac:dyDescent="0.3">
      <c r="A400">
        <v>100399</v>
      </c>
      <c r="B400">
        <v>2681402862</v>
      </c>
      <c r="C400" t="s">
        <v>412</v>
      </c>
      <c r="D400" t="s">
        <v>514</v>
      </c>
      <c r="E400" s="5">
        <v>45690</v>
      </c>
      <c r="F400" t="s">
        <v>518</v>
      </c>
      <c r="G400">
        <v>39812.769999999997</v>
      </c>
      <c r="H400">
        <v>151729.94</v>
      </c>
      <c r="I400">
        <v>6.34</v>
      </c>
      <c r="J400">
        <v>845263.65</v>
      </c>
      <c r="K400">
        <v>15</v>
      </c>
      <c r="L400">
        <v>14884.84</v>
      </c>
      <c r="M400" t="s">
        <v>522</v>
      </c>
      <c r="N400">
        <v>18</v>
      </c>
    </row>
    <row r="401" spans="1:14" x14ac:dyDescent="0.3">
      <c r="A401">
        <v>100400</v>
      </c>
      <c r="B401">
        <v>5581094196</v>
      </c>
      <c r="C401" t="s">
        <v>413</v>
      </c>
      <c r="D401" t="s">
        <v>515</v>
      </c>
      <c r="E401" s="5">
        <v>45691</v>
      </c>
      <c r="F401" t="s">
        <v>517</v>
      </c>
      <c r="G401">
        <v>5103.04</v>
      </c>
      <c r="H401">
        <v>451040.76</v>
      </c>
      <c r="I401">
        <v>11.12</v>
      </c>
      <c r="J401">
        <v>638549.89</v>
      </c>
      <c r="K401">
        <v>11</v>
      </c>
      <c r="L401">
        <v>42024.62</v>
      </c>
      <c r="M401" t="s">
        <v>523</v>
      </c>
      <c r="N401">
        <v>18</v>
      </c>
    </row>
    <row r="402" spans="1:14" x14ac:dyDescent="0.3">
      <c r="A402">
        <v>100401</v>
      </c>
      <c r="B402">
        <v>6724400194</v>
      </c>
      <c r="C402" t="s">
        <v>414</v>
      </c>
      <c r="D402" t="s">
        <v>514</v>
      </c>
      <c r="E402" s="5">
        <v>45692</v>
      </c>
      <c r="F402" t="s">
        <v>518</v>
      </c>
      <c r="G402">
        <v>29616.01</v>
      </c>
      <c r="H402">
        <v>66908.09</v>
      </c>
      <c r="I402">
        <v>10.26</v>
      </c>
      <c r="J402">
        <v>585225.57999999996</v>
      </c>
      <c r="K402">
        <v>9</v>
      </c>
      <c r="L402">
        <v>27606.91</v>
      </c>
      <c r="M402" t="s">
        <v>523</v>
      </c>
      <c r="N402">
        <v>18</v>
      </c>
    </row>
    <row r="403" spans="1:14" x14ac:dyDescent="0.3">
      <c r="A403">
        <v>100402</v>
      </c>
      <c r="B403">
        <v>3127828256</v>
      </c>
      <c r="C403" t="s">
        <v>415</v>
      </c>
      <c r="D403" t="s">
        <v>514</v>
      </c>
      <c r="E403" s="5">
        <v>45693</v>
      </c>
      <c r="F403" t="s">
        <v>518</v>
      </c>
      <c r="G403">
        <v>24308.16</v>
      </c>
      <c r="H403">
        <v>478400.23</v>
      </c>
      <c r="I403">
        <v>11.86</v>
      </c>
      <c r="J403">
        <v>643383.35</v>
      </c>
      <c r="K403">
        <v>7</v>
      </c>
      <c r="L403">
        <v>19316.599999999999</v>
      </c>
      <c r="M403" t="s">
        <v>519</v>
      </c>
      <c r="N403">
        <v>18</v>
      </c>
    </row>
    <row r="404" spans="1:14" x14ac:dyDescent="0.3">
      <c r="A404">
        <v>100403</v>
      </c>
      <c r="B404">
        <v>8526514104</v>
      </c>
      <c r="C404" t="s">
        <v>416</v>
      </c>
      <c r="D404" t="s">
        <v>514</v>
      </c>
      <c r="E404" s="5">
        <v>45694</v>
      </c>
      <c r="F404" t="s">
        <v>518</v>
      </c>
      <c r="G404">
        <v>32295.11</v>
      </c>
      <c r="H404">
        <v>163843.69</v>
      </c>
      <c r="I404">
        <v>9.7899999999999991</v>
      </c>
      <c r="J404">
        <v>871211.58</v>
      </c>
      <c r="K404">
        <v>13</v>
      </c>
      <c r="L404">
        <v>31641.17</v>
      </c>
      <c r="M404" t="s">
        <v>519</v>
      </c>
      <c r="N404">
        <v>18</v>
      </c>
    </row>
    <row r="405" spans="1:14" x14ac:dyDescent="0.3">
      <c r="A405">
        <v>100404</v>
      </c>
      <c r="B405">
        <v>4036457980</v>
      </c>
      <c r="C405" t="s">
        <v>417</v>
      </c>
      <c r="D405" t="s">
        <v>514</v>
      </c>
      <c r="E405" s="5">
        <v>45695</v>
      </c>
      <c r="F405" t="s">
        <v>517</v>
      </c>
      <c r="G405">
        <v>3710.25</v>
      </c>
      <c r="H405">
        <v>445317.8</v>
      </c>
      <c r="I405">
        <v>6.54</v>
      </c>
      <c r="J405">
        <v>607589.68000000005</v>
      </c>
      <c r="K405">
        <v>2</v>
      </c>
      <c r="L405">
        <v>1604.71</v>
      </c>
      <c r="M405" t="s">
        <v>523</v>
      </c>
      <c r="N405">
        <v>18</v>
      </c>
    </row>
    <row r="406" spans="1:14" x14ac:dyDescent="0.3">
      <c r="A406">
        <v>100405</v>
      </c>
      <c r="B406">
        <v>4343941018</v>
      </c>
      <c r="C406" t="s">
        <v>418</v>
      </c>
      <c r="D406" t="s">
        <v>516</v>
      </c>
      <c r="E406" s="5">
        <v>45696</v>
      </c>
      <c r="F406" t="s">
        <v>517</v>
      </c>
      <c r="G406">
        <v>29209.200000000001</v>
      </c>
      <c r="H406">
        <v>305442.01</v>
      </c>
      <c r="I406">
        <v>8.32</v>
      </c>
      <c r="J406">
        <v>601902.86</v>
      </c>
      <c r="K406">
        <v>8</v>
      </c>
      <c r="L406">
        <v>8005.08</v>
      </c>
      <c r="M406" t="s">
        <v>520</v>
      </c>
      <c r="N406">
        <v>18</v>
      </c>
    </row>
    <row r="407" spans="1:14" x14ac:dyDescent="0.3">
      <c r="A407">
        <v>100406</v>
      </c>
      <c r="B407">
        <v>6173479619</v>
      </c>
      <c r="C407" t="s">
        <v>419</v>
      </c>
      <c r="D407" t="s">
        <v>516</v>
      </c>
      <c r="E407" s="5">
        <v>45697</v>
      </c>
      <c r="F407" t="s">
        <v>517</v>
      </c>
      <c r="G407">
        <v>28293.49</v>
      </c>
      <c r="H407">
        <v>415086.61</v>
      </c>
      <c r="I407">
        <v>8.9499999999999993</v>
      </c>
      <c r="J407">
        <v>991145.2</v>
      </c>
      <c r="K407">
        <v>7</v>
      </c>
      <c r="L407">
        <v>37372.379999999997</v>
      </c>
      <c r="M407" t="s">
        <v>522</v>
      </c>
      <c r="N407">
        <v>18</v>
      </c>
    </row>
    <row r="408" spans="1:14" x14ac:dyDescent="0.3">
      <c r="A408">
        <v>100407</v>
      </c>
      <c r="B408">
        <v>8361849153</v>
      </c>
      <c r="C408" t="s">
        <v>420</v>
      </c>
      <c r="D408" t="s">
        <v>515</v>
      </c>
      <c r="E408" s="5">
        <v>45698</v>
      </c>
      <c r="F408" t="s">
        <v>517</v>
      </c>
      <c r="G408">
        <v>28252.67</v>
      </c>
      <c r="H408">
        <v>492166.45</v>
      </c>
      <c r="I408">
        <v>3.71</v>
      </c>
      <c r="J408">
        <v>768893.66</v>
      </c>
      <c r="K408">
        <v>12</v>
      </c>
      <c r="L408">
        <v>12963.92</v>
      </c>
      <c r="M408" t="s">
        <v>519</v>
      </c>
      <c r="N408">
        <v>18</v>
      </c>
    </row>
    <row r="409" spans="1:14" x14ac:dyDescent="0.3">
      <c r="A409">
        <v>100408</v>
      </c>
      <c r="B409">
        <v>7416601604</v>
      </c>
      <c r="C409" t="s">
        <v>421</v>
      </c>
      <c r="D409" t="s">
        <v>516</v>
      </c>
      <c r="E409" s="5">
        <v>45699</v>
      </c>
      <c r="F409" t="s">
        <v>517</v>
      </c>
      <c r="G409">
        <v>30372.639999999999</v>
      </c>
      <c r="H409">
        <v>151318.66</v>
      </c>
      <c r="I409">
        <v>7.9</v>
      </c>
      <c r="J409">
        <v>470179.12</v>
      </c>
      <c r="K409">
        <v>19</v>
      </c>
      <c r="L409">
        <v>30302.45</v>
      </c>
      <c r="M409" t="s">
        <v>522</v>
      </c>
      <c r="N409">
        <v>18</v>
      </c>
    </row>
    <row r="410" spans="1:14" x14ac:dyDescent="0.3">
      <c r="A410">
        <v>100409</v>
      </c>
      <c r="B410">
        <v>1442020981</v>
      </c>
      <c r="C410" t="s">
        <v>422</v>
      </c>
      <c r="D410" t="s">
        <v>516</v>
      </c>
      <c r="E410" s="5">
        <v>45700</v>
      </c>
      <c r="F410" t="s">
        <v>517</v>
      </c>
      <c r="G410">
        <v>33985.160000000003</v>
      </c>
      <c r="H410">
        <v>480956.39</v>
      </c>
      <c r="I410">
        <v>9.3800000000000008</v>
      </c>
      <c r="J410">
        <v>722027.15</v>
      </c>
      <c r="K410">
        <v>7</v>
      </c>
      <c r="L410">
        <v>19870.03</v>
      </c>
      <c r="M410" t="s">
        <v>521</v>
      </c>
      <c r="N410">
        <v>18</v>
      </c>
    </row>
    <row r="411" spans="1:14" x14ac:dyDescent="0.3">
      <c r="A411">
        <v>100410</v>
      </c>
      <c r="B411">
        <v>7599137164</v>
      </c>
      <c r="C411" t="s">
        <v>423</v>
      </c>
      <c r="D411" t="s">
        <v>515</v>
      </c>
      <c r="E411" s="5">
        <v>45701</v>
      </c>
      <c r="F411" t="s">
        <v>517</v>
      </c>
      <c r="G411">
        <v>40346.959999999999</v>
      </c>
      <c r="H411">
        <v>200846.13</v>
      </c>
      <c r="I411">
        <v>4.51</v>
      </c>
      <c r="J411">
        <v>419768.95</v>
      </c>
      <c r="K411">
        <v>10</v>
      </c>
      <c r="L411">
        <v>42885.48</v>
      </c>
      <c r="M411" t="s">
        <v>523</v>
      </c>
      <c r="N411">
        <v>18</v>
      </c>
    </row>
    <row r="412" spans="1:14" x14ac:dyDescent="0.3">
      <c r="A412">
        <v>100411</v>
      </c>
      <c r="B412">
        <v>3318683783</v>
      </c>
      <c r="C412" t="s">
        <v>424</v>
      </c>
      <c r="D412" t="s">
        <v>515</v>
      </c>
      <c r="E412" s="5">
        <v>45702</v>
      </c>
      <c r="F412" t="s">
        <v>518</v>
      </c>
      <c r="G412">
        <v>13856.13</v>
      </c>
      <c r="H412">
        <v>198900.83</v>
      </c>
      <c r="I412">
        <v>10.029999999999999</v>
      </c>
      <c r="J412">
        <v>267431.69</v>
      </c>
      <c r="K412">
        <v>16</v>
      </c>
      <c r="L412">
        <v>47668.35</v>
      </c>
      <c r="M412" t="s">
        <v>520</v>
      </c>
      <c r="N412">
        <v>18</v>
      </c>
    </row>
    <row r="413" spans="1:14" x14ac:dyDescent="0.3">
      <c r="A413">
        <v>100412</v>
      </c>
      <c r="B413">
        <v>3088889500</v>
      </c>
      <c r="C413" t="s">
        <v>425</v>
      </c>
      <c r="D413" t="s">
        <v>515</v>
      </c>
      <c r="E413" s="5">
        <v>45703</v>
      </c>
      <c r="F413" t="s">
        <v>518</v>
      </c>
      <c r="G413">
        <v>41339.949999999997</v>
      </c>
      <c r="H413">
        <v>176789.68</v>
      </c>
      <c r="I413">
        <v>8.25</v>
      </c>
      <c r="J413">
        <v>617009.28</v>
      </c>
      <c r="K413">
        <v>3</v>
      </c>
      <c r="L413">
        <v>44294.67</v>
      </c>
      <c r="M413" t="s">
        <v>521</v>
      </c>
      <c r="N413">
        <v>18</v>
      </c>
    </row>
    <row r="414" spans="1:14" x14ac:dyDescent="0.3">
      <c r="A414">
        <v>100413</v>
      </c>
      <c r="B414">
        <v>5347379098</v>
      </c>
      <c r="C414" t="s">
        <v>426</v>
      </c>
      <c r="D414" t="s">
        <v>516</v>
      </c>
      <c r="E414" s="5">
        <v>45704</v>
      </c>
      <c r="F414" t="s">
        <v>518</v>
      </c>
      <c r="G414">
        <v>25163.66</v>
      </c>
      <c r="H414">
        <v>275289.73</v>
      </c>
      <c r="I414">
        <v>11.57</v>
      </c>
      <c r="J414">
        <v>931772.99</v>
      </c>
      <c r="K414">
        <v>10</v>
      </c>
      <c r="L414">
        <v>14260.38</v>
      </c>
      <c r="M414" t="s">
        <v>521</v>
      </c>
      <c r="N414">
        <v>18</v>
      </c>
    </row>
    <row r="415" spans="1:14" x14ac:dyDescent="0.3">
      <c r="A415">
        <v>100414</v>
      </c>
      <c r="B415">
        <v>4551073939</v>
      </c>
      <c r="C415" t="s">
        <v>427</v>
      </c>
      <c r="D415" t="s">
        <v>516</v>
      </c>
      <c r="E415" s="5">
        <v>45705</v>
      </c>
      <c r="F415" t="s">
        <v>517</v>
      </c>
      <c r="G415">
        <v>4314.38</v>
      </c>
      <c r="H415">
        <v>85531.07</v>
      </c>
      <c r="I415">
        <v>3.38</v>
      </c>
      <c r="J415">
        <v>932682.54</v>
      </c>
      <c r="K415">
        <v>6</v>
      </c>
      <c r="L415">
        <v>10513.98</v>
      </c>
      <c r="M415" t="s">
        <v>521</v>
      </c>
      <c r="N415">
        <v>18</v>
      </c>
    </row>
    <row r="416" spans="1:14" x14ac:dyDescent="0.3">
      <c r="A416">
        <v>100415</v>
      </c>
      <c r="B416">
        <v>6766097767</v>
      </c>
      <c r="C416" t="s">
        <v>428</v>
      </c>
      <c r="D416" t="s">
        <v>515</v>
      </c>
      <c r="E416" s="5">
        <v>45706</v>
      </c>
      <c r="F416" t="s">
        <v>517</v>
      </c>
      <c r="G416">
        <v>3398.27</v>
      </c>
      <c r="H416">
        <v>281318.63</v>
      </c>
      <c r="I416">
        <v>5.39</v>
      </c>
      <c r="J416">
        <v>374810.01</v>
      </c>
      <c r="K416">
        <v>18</v>
      </c>
      <c r="L416">
        <v>24247.31</v>
      </c>
      <c r="M416" t="s">
        <v>523</v>
      </c>
      <c r="N416">
        <v>18</v>
      </c>
    </row>
    <row r="417" spans="1:14" x14ac:dyDescent="0.3">
      <c r="A417">
        <v>100416</v>
      </c>
      <c r="B417">
        <v>6271432325</v>
      </c>
      <c r="C417" t="s">
        <v>429</v>
      </c>
      <c r="D417" t="s">
        <v>514</v>
      </c>
      <c r="E417" s="5">
        <v>45707</v>
      </c>
      <c r="F417" t="s">
        <v>517</v>
      </c>
      <c r="G417">
        <v>17044.8</v>
      </c>
      <c r="H417">
        <v>275435.36</v>
      </c>
      <c r="I417">
        <v>8.41</v>
      </c>
      <c r="J417">
        <v>551293.59</v>
      </c>
      <c r="K417">
        <v>18</v>
      </c>
      <c r="L417">
        <v>1359.37</v>
      </c>
      <c r="M417" t="s">
        <v>519</v>
      </c>
      <c r="N417">
        <v>18</v>
      </c>
    </row>
    <row r="418" spans="1:14" x14ac:dyDescent="0.3">
      <c r="A418">
        <v>100417</v>
      </c>
      <c r="B418">
        <v>7936158570</v>
      </c>
      <c r="C418" t="s">
        <v>430</v>
      </c>
      <c r="D418" t="s">
        <v>515</v>
      </c>
      <c r="E418" s="5">
        <v>45708</v>
      </c>
      <c r="F418" t="s">
        <v>517</v>
      </c>
      <c r="G418">
        <v>39352.400000000001</v>
      </c>
      <c r="H418">
        <v>383331.89</v>
      </c>
      <c r="I418">
        <v>5.67</v>
      </c>
      <c r="J418">
        <v>251054.1</v>
      </c>
      <c r="K418">
        <v>5</v>
      </c>
      <c r="L418">
        <v>2264.66</v>
      </c>
      <c r="M418" t="s">
        <v>523</v>
      </c>
      <c r="N418">
        <v>18</v>
      </c>
    </row>
    <row r="419" spans="1:14" x14ac:dyDescent="0.3">
      <c r="A419">
        <v>100418</v>
      </c>
      <c r="B419">
        <v>1597499495</v>
      </c>
      <c r="C419" t="s">
        <v>431</v>
      </c>
      <c r="D419" t="s">
        <v>514</v>
      </c>
      <c r="E419" s="5">
        <v>45709</v>
      </c>
      <c r="F419" t="s">
        <v>517</v>
      </c>
      <c r="G419">
        <v>35530.21</v>
      </c>
      <c r="H419">
        <v>418488.48</v>
      </c>
      <c r="I419">
        <v>9.43</v>
      </c>
      <c r="J419">
        <v>995849.55</v>
      </c>
      <c r="K419">
        <v>7</v>
      </c>
      <c r="L419">
        <v>28111.24</v>
      </c>
      <c r="M419" t="s">
        <v>519</v>
      </c>
      <c r="N419">
        <v>18</v>
      </c>
    </row>
    <row r="420" spans="1:14" x14ac:dyDescent="0.3">
      <c r="A420">
        <v>100419</v>
      </c>
      <c r="B420">
        <v>5727876817</v>
      </c>
      <c r="C420" t="s">
        <v>432</v>
      </c>
      <c r="D420" t="s">
        <v>514</v>
      </c>
      <c r="E420" s="5">
        <v>45710</v>
      </c>
      <c r="F420" t="s">
        <v>518</v>
      </c>
      <c r="G420">
        <v>39536.44</v>
      </c>
      <c r="H420">
        <v>225816.26</v>
      </c>
      <c r="I420">
        <v>9.83</v>
      </c>
      <c r="J420">
        <v>982062.01</v>
      </c>
      <c r="K420">
        <v>2</v>
      </c>
      <c r="L420">
        <v>26502.02</v>
      </c>
      <c r="M420" t="s">
        <v>521</v>
      </c>
      <c r="N420">
        <v>18</v>
      </c>
    </row>
    <row r="421" spans="1:14" x14ac:dyDescent="0.3">
      <c r="A421">
        <v>100420</v>
      </c>
      <c r="B421">
        <v>2099578336</v>
      </c>
      <c r="C421" t="s">
        <v>433</v>
      </c>
      <c r="D421" t="s">
        <v>515</v>
      </c>
      <c r="E421" s="5">
        <v>45711</v>
      </c>
      <c r="F421" t="s">
        <v>518</v>
      </c>
      <c r="G421">
        <v>26104.82</v>
      </c>
      <c r="H421">
        <v>158143.29</v>
      </c>
      <c r="I421">
        <v>3.92</v>
      </c>
      <c r="J421">
        <v>667033.48</v>
      </c>
      <c r="K421">
        <v>11</v>
      </c>
      <c r="L421">
        <v>49734.52</v>
      </c>
      <c r="M421" t="s">
        <v>521</v>
      </c>
      <c r="N421">
        <v>18</v>
      </c>
    </row>
    <row r="422" spans="1:14" x14ac:dyDescent="0.3">
      <c r="A422">
        <v>100421</v>
      </c>
      <c r="B422">
        <v>8607446512</v>
      </c>
      <c r="C422" t="s">
        <v>434</v>
      </c>
      <c r="D422" t="s">
        <v>515</v>
      </c>
      <c r="E422" s="5">
        <v>45712</v>
      </c>
      <c r="F422" t="s">
        <v>517</v>
      </c>
      <c r="G422">
        <v>22289.85</v>
      </c>
      <c r="H422">
        <v>137074.1</v>
      </c>
      <c r="I422">
        <v>7.62</v>
      </c>
      <c r="J422">
        <v>814193.36</v>
      </c>
      <c r="K422">
        <v>13</v>
      </c>
      <c r="L422">
        <v>10890.25</v>
      </c>
      <c r="M422" t="s">
        <v>520</v>
      </c>
      <c r="N422">
        <v>18</v>
      </c>
    </row>
    <row r="423" spans="1:14" x14ac:dyDescent="0.3">
      <c r="A423">
        <v>100422</v>
      </c>
      <c r="B423">
        <v>5590983048</v>
      </c>
      <c r="C423" t="s">
        <v>435</v>
      </c>
      <c r="D423" t="s">
        <v>515</v>
      </c>
      <c r="E423" s="5">
        <v>45713</v>
      </c>
      <c r="F423" t="s">
        <v>517</v>
      </c>
      <c r="G423">
        <v>7798.9</v>
      </c>
      <c r="H423">
        <v>105365.68</v>
      </c>
      <c r="I423">
        <v>7.58</v>
      </c>
      <c r="J423">
        <v>729345.15</v>
      </c>
      <c r="K423">
        <v>5</v>
      </c>
      <c r="L423">
        <v>13647.09</v>
      </c>
      <c r="M423" t="s">
        <v>519</v>
      </c>
      <c r="N423">
        <v>18</v>
      </c>
    </row>
    <row r="424" spans="1:14" x14ac:dyDescent="0.3">
      <c r="A424">
        <v>100423</v>
      </c>
      <c r="B424">
        <v>5627058738</v>
      </c>
      <c r="C424" t="s">
        <v>436</v>
      </c>
      <c r="D424" t="s">
        <v>516</v>
      </c>
      <c r="E424" s="5">
        <v>45714</v>
      </c>
      <c r="F424" t="s">
        <v>517</v>
      </c>
      <c r="G424">
        <v>16745.54</v>
      </c>
      <c r="H424">
        <v>38247.32</v>
      </c>
      <c r="I424">
        <v>6.32</v>
      </c>
      <c r="J424">
        <v>613500.31000000006</v>
      </c>
      <c r="K424">
        <v>6</v>
      </c>
      <c r="L424">
        <v>6563.49</v>
      </c>
      <c r="M424" t="s">
        <v>521</v>
      </c>
      <c r="N424">
        <v>18</v>
      </c>
    </row>
    <row r="425" spans="1:14" x14ac:dyDescent="0.3">
      <c r="A425">
        <v>100424</v>
      </c>
      <c r="B425">
        <v>1447737293</v>
      </c>
      <c r="C425" t="s">
        <v>437</v>
      </c>
      <c r="D425" t="s">
        <v>514</v>
      </c>
      <c r="E425" s="5">
        <v>45715</v>
      </c>
      <c r="F425" t="s">
        <v>517</v>
      </c>
      <c r="G425">
        <v>21983.96</v>
      </c>
      <c r="H425">
        <v>177799.51</v>
      </c>
      <c r="I425">
        <v>11.4</v>
      </c>
      <c r="J425">
        <v>100680.6</v>
      </c>
      <c r="K425">
        <v>14</v>
      </c>
      <c r="L425">
        <v>45959.61</v>
      </c>
      <c r="M425" t="s">
        <v>522</v>
      </c>
      <c r="N425">
        <v>18</v>
      </c>
    </row>
    <row r="426" spans="1:14" x14ac:dyDescent="0.3">
      <c r="A426">
        <v>100425</v>
      </c>
      <c r="B426">
        <v>9206334730</v>
      </c>
      <c r="C426" t="s">
        <v>438</v>
      </c>
      <c r="D426" t="s">
        <v>516</v>
      </c>
      <c r="E426" s="5">
        <v>45716</v>
      </c>
      <c r="F426" t="s">
        <v>518</v>
      </c>
      <c r="G426">
        <v>4885.72</v>
      </c>
      <c r="H426">
        <v>142421.37</v>
      </c>
      <c r="I426">
        <v>10.45</v>
      </c>
      <c r="J426">
        <v>482026.13</v>
      </c>
      <c r="K426">
        <v>12</v>
      </c>
      <c r="L426">
        <v>39112.75</v>
      </c>
      <c r="M426" t="s">
        <v>520</v>
      </c>
      <c r="N426">
        <v>18</v>
      </c>
    </row>
    <row r="427" spans="1:14" x14ac:dyDescent="0.3">
      <c r="A427">
        <v>100426</v>
      </c>
      <c r="B427">
        <v>6308175972</v>
      </c>
      <c r="C427" t="s">
        <v>439</v>
      </c>
      <c r="D427" t="s">
        <v>516</v>
      </c>
      <c r="E427" s="5">
        <v>45717</v>
      </c>
      <c r="F427" t="s">
        <v>517</v>
      </c>
      <c r="G427">
        <v>11420.29</v>
      </c>
      <c r="H427">
        <v>483544.52</v>
      </c>
      <c r="I427">
        <v>9.27</v>
      </c>
      <c r="J427">
        <v>691046.99</v>
      </c>
      <c r="K427">
        <v>4</v>
      </c>
      <c r="L427">
        <v>41294.620000000003</v>
      </c>
      <c r="M427" t="s">
        <v>523</v>
      </c>
      <c r="N427">
        <v>18</v>
      </c>
    </row>
    <row r="428" spans="1:14" x14ac:dyDescent="0.3">
      <c r="A428">
        <v>100427</v>
      </c>
      <c r="B428">
        <v>1710905177</v>
      </c>
      <c r="C428" t="s">
        <v>440</v>
      </c>
      <c r="D428" t="s">
        <v>515</v>
      </c>
      <c r="E428" s="5">
        <v>45718</v>
      </c>
      <c r="F428" t="s">
        <v>517</v>
      </c>
      <c r="G428">
        <v>30112.15</v>
      </c>
      <c r="H428">
        <v>283277.32</v>
      </c>
      <c r="I428">
        <v>9.43</v>
      </c>
      <c r="J428">
        <v>693655.03</v>
      </c>
      <c r="K428">
        <v>6</v>
      </c>
      <c r="L428">
        <v>45235.43</v>
      </c>
      <c r="M428" t="s">
        <v>520</v>
      </c>
      <c r="N428">
        <v>18</v>
      </c>
    </row>
    <row r="429" spans="1:14" x14ac:dyDescent="0.3">
      <c r="A429">
        <v>100428</v>
      </c>
      <c r="B429">
        <v>6095209379</v>
      </c>
      <c r="C429" t="s">
        <v>441</v>
      </c>
      <c r="D429" t="s">
        <v>516</v>
      </c>
      <c r="E429" s="5">
        <v>45719</v>
      </c>
      <c r="F429" t="s">
        <v>517</v>
      </c>
      <c r="G429">
        <v>36915.32</v>
      </c>
      <c r="H429">
        <v>180165.75</v>
      </c>
      <c r="I429">
        <v>7.16</v>
      </c>
      <c r="J429">
        <v>404466.49</v>
      </c>
      <c r="K429">
        <v>10</v>
      </c>
      <c r="L429">
        <v>26720.1</v>
      </c>
      <c r="M429" t="s">
        <v>522</v>
      </c>
      <c r="N429">
        <v>18</v>
      </c>
    </row>
    <row r="430" spans="1:14" x14ac:dyDescent="0.3">
      <c r="A430">
        <v>100429</v>
      </c>
      <c r="B430">
        <v>8891962838</v>
      </c>
      <c r="C430" t="s">
        <v>442</v>
      </c>
      <c r="D430" t="s">
        <v>515</v>
      </c>
      <c r="E430" s="5">
        <v>45720</v>
      </c>
      <c r="F430" t="s">
        <v>517</v>
      </c>
      <c r="G430">
        <v>49918.2</v>
      </c>
      <c r="H430">
        <v>294429.12</v>
      </c>
      <c r="I430">
        <v>11.29</v>
      </c>
      <c r="J430">
        <v>944607.39</v>
      </c>
      <c r="K430">
        <v>18</v>
      </c>
      <c r="L430">
        <v>23108.47</v>
      </c>
      <c r="M430" t="s">
        <v>519</v>
      </c>
      <c r="N430">
        <v>18</v>
      </c>
    </row>
    <row r="431" spans="1:14" x14ac:dyDescent="0.3">
      <c r="A431">
        <v>100430</v>
      </c>
      <c r="B431">
        <v>2426557952</v>
      </c>
      <c r="C431" t="s">
        <v>443</v>
      </c>
      <c r="D431" t="s">
        <v>514</v>
      </c>
      <c r="E431" s="5">
        <v>45721</v>
      </c>
      <c r="F431" t="s">
        <v>518</v>
      </c>
      <c r="G431">
        <v>46689.11</v>
      </c>
      <c r="H431">
        <v>78206.38</v>
      </c>
      <c r="I431">
        <v>9.25</v>
      </c>
      <c r="J431">
        <v>208989.18</v>
      </c>
      <c r="K431">
        <v>15</v>
      </c>
      <c r="L431">
        <v>17189.18</v>
      </c>
      <c r="M431" t="s">
        <v>523</v>
      </c>
      <c r="N431">
        <v>18</v>
      </c>
    </row>
    <row r="432" spans="1:14" x14ac:dyDescent="0.3">
      <c r="A432">
        <v>100431</v>
      </c>
      <c r="B432">
        <v>2629105582</v>
      </c>
      <c r="C432" t="s">
        <v>444</v>
      </c>
      <c r="D432" t="s">
        <v>515</v>
      </c>
      <c r="E432" s="5">
        <v>45722</v>
      </c>
      <c r="F432" t="s">
        <v>517</v>
      </c>
      <c r="G432">
        <v>32306.98</v>
      </c>
      <c r="H432">
        <v>227581.44</v>
      </c>
      <c r="I432">
        <v>9.56</v>
      </c>
      <c r="J432">
        <v>525341.47</v>
      </c>
      <c r="K432">
        <v>8</v>
      </c>
      <c r="L432">
        <v>29871.52</v>
      </c>
      <c r="M432" t="s">
        <v>523</v>
      </c>
      <c r="N432">
        <v>18</v>
      </c>
    </row>
    <row r="433" spans="1:14" x14ac:dyDescent="0.3">
      <c r="A433">
        <v>100432</v>
      </c>
      <c r="B433">
        <v>4196527924</v>
      </c>
      <c r="C433" t="s">
        <v>445</v>
      </c>
      <c r="D433" t="s">
        <v>516</v>
      </c>
      <c r="E433" s="5">
        <v>45723</v>
      </c>
      <c r="F433" t="s">
        <v>517</v>
      </c>
      <c r="G433">
        <v>21351.78</v>
      </c>
      <c r="H433">
        <v>316854.82</v>
      </c>
      <c r="I433">
        <v>10.76</v>
      </c>
      <c r="J433">
        <v>706339.78</v>
      </c>
      <c r="K433">
        <v>9</v>
      </c>
      <c r="L433">
        <v>23259.64</v>
      </c>
      <c r="M433" t="s">
        <v>519</v>
      </c>
      <c r="N433">
        <v>18</v>
      </c>
    </row>
    <row r="434" spans="1:14" x14ac:dyDescent="0.3">
      <c r="A434">
        <v>100433</v>
      </c>
      <c r="B434">
        <v>1882958537</v>
      </c>
      <c r="C434" t="s">
        <v>446</v>
      </c>
      <c r="D434" t="s">
        <v>516</v>
      </c>
      <c r="E434" s="5">
        <v>45724</v>
      </c>
      <c r="F434" t="s">
        <v>518</v>
      </c>
      <c r="G434">
        <v>31990.78</v>
      </c>
      <c r="H434">
        <v>249559.94</v>
      </c>
      <c r="I434">
        <v>5.47</v>
      </c>
      <c r="J434">
        <v>712279.02</v>
      </c>
      <c r="K434">
        <v>5</v>
      </c>
      <c r="L434">
        <v>23126.71</v>
      </c>
      <c r="M434" t="s">
        <v>520</v>
      </c>
      <c r="N434">
        <v>18</v>
      </c>
    </row>
    <row r="435" spans="1:14" x14ac:dyDescent="0.3">
      <c r="A435">
        <v>100434</v>
      </c>
      <c r="B435">
        <v>3592964249</v>
      </c>
      <c r="C435" t="s">
        <v>447</v>
      </c>
      <c r="D435" t="s">
        <v>515</v>
      </c>
      <c r="E435" s="5">
        <v>45725</v>
      </c>
      <c r="F435" t="s">
        <v>518</v>
      </c>
      <c r="G435">
        <v>39389.760000000002</v>
      </c>
      <c r="H435">
        <v>206871.61</v>
      </c>
      <c r="I435">
        <v>10.26</v>
      </c>
      <c r="J435">
        <v>666207.01</v>
      </c>
      <c r="K435">
        <v>10</v>
      </c>
      <c r="L435">
        <v>46909.47</v>
      </c>
      <c r="M435" t="s">
        <v>521</v>
      </c>
      <c r="N435">
        <v>18</v>
      </c>
    </row>
    <row r="436" spans="1:14" x14ac:dyDescent="0.3">
      <c r="A436">
        <v>100435</v>
      </c>
      <c r="B436">
        <v>1490774306</v>
      </c>
      <c r="C436" t="s">
        <v>448</v>
      </c>
      <c r="D436" t="s">
        <v>515</v>
      </c>
      <c r="E436" s="5">
        <v>45726</v>
      </c>
      <c r="F436" t="s">
        <v>518</v>
      </c>
      <c r="G436">
        <v>6357.64</v>
      </c>
      <c r="H436">
        <v>496985.71</v>
      </c>
      <c r="I436">
        <v>4.76</v>
      </c>
      <c r="J436">
        <v>311523.8</v>
      </c>
      <c r="K436">
        <v>6</v>
      </c>
      <c r="L436">
        <v>49217.54</v>
      </c>
      <c r="M436" t="s">
        <v>520</v>
      </c>
      <c r="N436">
        <v>18</v>
      </c>
    </row>
    <row r="437" spans="1:14" x14ac:dyDescent="0.3">
      <c r="A437">
        <v>100436</v>
      </c>
      <c r="B437">
        <v>4708782169</v>
      </c>
      <c r="C437" t="s">
        <v>449</v>
      </c>
      <c r="D437" t="s">
        <v>516</v>
      </c>
      <c r="E437" s="5">
        <v>45727</v>
      </c>
      <c r="F437" t="s">
        <v>517</v>
      </c>
      <c r="G437">
        <v>20790.29</v>
      </c>
      <c r="H437">
        <v>441354.23</v>
      </c>
      <c r="I437">
        <v>6.11</v>
      </c>
      <c r="J437">
        <v>198396.24</v>
      </c>
      <c r="K437">
        <v>16</v>
      </c>
      <c r="L437">
        <v>40027.74</v>
      </c>
      <c r="M437" t="s">
        <v>522</v>
      </c>
      <c r="N437">
        <v>18</v>
      </c>
    </row>
    <row r="438" spans="1:14" x14ac:dyDescent="0.3">
      <c r="A438">
        <v>100437</v>
      </c>
      <c r="B438">
        <v>7295134086</v>
      </c>
      <c r="C438" t="s">
        <v>450</v>
      </c>
      <c r="D438" t="s">
        <v>514</v>
      </c>
      <c r="E438" s="5">
        <v>45728</v>
      </c>
      <c r="F438" t="s">
        <v>517</v>
      </c>
      <c r="G438">
        <v>42070.21</v>
      </c>
      <c r="H438">
        <v>315468.92</v>
      </c>
      <c r="I438">
        <v>6.02</v>
      </c>
      <c r="J438">
        <v>654143.31000000006</v>
      </c>
      <c r="K438">
        <v>3</v>
      </c>
      <c r="L438">
        <v>38081.15</v>
      </c>
      <c r="M438" t="s">
        <v>521</v>
      </c>
      <c r="N438">
        <v>18</v>
      </c>
    </row>
    <row r="439" spans="1:14" x14ac:dyDescent="0.3">
      <c r="A439">
        <v>100438</v>
      </c>
      <c r="B439">
        <v>7360146394</v>
      </c>
      <c r="C439" t="s">
        <v>451</v>
      </c>
      <c r="D439" t="s">
        <v>514</v>
      </c>
      <c r="E439" s="5">
        <v>45729</v>
      </c>
      <c r="F439" t="s">
        <v>518</v>
      </c>
      <c r="G439">
        <v>19499.73</v>
      </c>
      <c r="H439">
        <v>288994.90999999997</v>
      </c>
      <c r="I439">
        <v>11.81</v>
      </c>
      <c r="J439">
        <v>619337.01</v>
      </c>
      <c r="K439">
        <v>10</v>
      </c>
      <c r="L439">
        <v>34347.35</v>
      </c>
      <c r="M439" t="s">
        <v>520</v>
      </c>
      <c r="N439">
        <v>18</v>
      </c>
    </row>
    <row r="440" spans="1:14" x14ac:dyDescent="0.3">
      <c r="A440">
        <v>100439</v>
      </c>
      <c r="B440">
        <v>9239700314</v>
      </c>
      <c r="C440" t="s">
        <v>452</v>
      </c>
      <c r="D440" t="s">
        <v>515</v>
      </c>
      <c r="E440" s="5">
        <v>45730</v>
      </c>
      <c r="F440" t="s">
        <v>518</v>
      </c>
      <c r="G440">
        <v>28807.68</v>
      </c>
      <c r="H440">
        <v>314123.64</v>
      </c>
      <c r="I440">
        <v>10.71</v>
      </c>
      <c r="J440">
        <v>220388.21</v>
      </c>
      <c r="K440">
        <v>11</v>
      </c>
      <c r="L440">
        <v>9137.67</v>
      </c>
      <c r="M440" t="s">
        <v>519</v>
      </c>
      <c r="N440">
        <v>18</v>
      </c>
    </row>
    <row r="441" spans="1:14" x14ac:dyDescent="0.3">
      <c r="A441">
        <v>100440</v>
      </c>
      <c r="B441">
        <v>3521438847</v>
      </c>
      <c r="C441" t="s">
        <v>453</v>
      </c>
      <c r="D441" t="s">
        <v>514</v>
      </c>
      <c r="E441" s="5">
        <v>45731</v>
      </c>
      <c r="F441" t="s">
        <v>518</v>
      </c>
      <c r="G441">
        <v>29594.58</v>
      </c>
      <c r="H441">
        <v>108642.93</v>
      </c>
      <c r="I441">
        <v>9.31</v>
      </c>
      <c r="J441">
        <v>719882.19</v>
      </c>
      <c r="K441">
        <v>11</v>
      </c>
      <c r="L441">
        <v>3896.19</v>
      </c>
      <c r="M441" t="s">
        <v>522</v>
      </c>
      <c r="N441">
        <v>18</v>
      </c>
    </row>
    <row r="442" spans="1:14" x14ac:dyDescent="0.3">
      <c r="A442">
        <v>100441</v>
      </c>
      <c r="B442">
        <v>9731009978</v>
      </c>
      <c r="C442" t="s">
        <v>454</v>
      </c>
      <c r="D442" t="s">
        <v>516</v>
      </c>
      <c r="E442" s="5">
        <v>45732</v>
      </c>
      <c r="F442" t="s">
        <v>518</v>
      </c>
      <c r="G442">
        <v>9631.57</v>
      </c>
      <c r="H442">
        <v>203617.49</v>
      </c>
      <c r="I442">
        <v>9.5399999999999991</v>
      </c>
      <c r="J442">
        <v>482413.39</v>
      </c>
      <c r="K442">
        <v>17</v>
      </c>
      <c r="L442">
        <v>34845.589999999997</v>
      </c>
      <c r="M442" t="s">
        <v>522</v>
      </c>
      <c r="N442">
        <v>18</v>
      </c>
    </row>
    <row r="443" spans="1:14" x14ac:dyDescent="0.3">
      <c r="A443">
        <v>100442</v>
      </c>
      <c r="B443">
        <v>5440477172</v>
      </c>
      <c r="C443" t="s">
        <v>455</v>
      </c>
      <c r="D443" t="s">
        <v>515</v>
      </c>
      <c r="E443" s="5">
        <v>45733</v>
      </c>
      <c r="F443" t="s">
        <v>518</v>
      </c>
      <c r="G443">
        <v>18430.650000000001</v>
      </c>
      <c r="H443">
        <v>29335.17</v>
      </c>
      <c r="I443">
        <v>8.06</v>
      </c>
      <c r="J443">
        <v>684372.56</v>
      </c>
      <c r="K443">
        <v>4</v>
      </c>
      <c r="L443">
        <v>36710.519999999997</v>
      </c>
      <c r="M443" t="s">
        <v>522</v>
      </c>
      <c r="N443">
        <v>18</v>
      </c>
    </row>
    <row r="444" spans="1:14" x14ac:dyDescent="0.3">
      <c r="A444">
        <v>100443</v>
      </c>
      <c r="B444">
        <v>4352203548</v>
      </c>
      <c r="C444" t="s">
        <v>456</v>
      </c>
      <c r="D444" t="s">
        <v>516</v>
      </c>
      <c r="E444" s="5">
        <v>45734</v>
      </c>
      <c r="F444" t="s">
        <v>518</v>
      </c>
      <c r="G444">
        <v>17058.310000000001</v>
      </c>
      <c r="H444">
        <v>243017.56</v>
      </c>
      <c r="I444">
        <v>11.52</v>
      </c>
      <c r="J444">
        <v>845498.73</v>
      </c>
      <c r="K444">
        <v>4</v>
      </c>
      <c r="L444">
        <v>3301.68</v>
      </c>
      <c r="M444" t="s">
        <v>521</v>
      </c>
      <c r="N444">
        <v>18</v>
      </c>
    </row>
    <row r="445" spans="1:14" x14ac:dyDescent="0.3">
      <c r="A445">
        <v>100444</v>
      </c>
      <c r="B445">
        <v>6240277657</v>
      </c>
      <c r="C445" t="s">
        <v>457</v>
      </c>
      <c r="D445" t="s">
        <v>516</v>
      </c>
      <c r="E445" s="5">
        <v>45735</v>
      </c>
      <c r="F445" t="s">
        <v>517</v>
      </c>
      <c r="G445">
        <v>1796.74</v>
      </c>
      <c r="H445">
        <v>276082.05</v>
      </c>
      <c r="I445">
        <v>7.47</v>
      </c>
      <c r="J445">
        <v>211242.01</v>
      </c>
      <c r="K445">
        <v>17</v>
      </c>
      <c r="L445">
        <v>46474.54</v>
      </c>
      <c r="M445" t="s">
        <v>523</v>
      </c>
      <c r="N445">
        <v>18</v>
      </c>
    </row>
    <row r="446" spans="1:14" x14ac:dyDescent="0.3">
      <c r="A446">
        <v>100445</v>
      </c>
      <c r="B446">
        <v>3212654128</v>
      </c>
      <c r="C446" t="s">
        <v>458</v>
      </c>
      <c r="D446" t="s">
        <v>514</v>
      </c>
      <c r="E446" s="5">
        <v>45736</v>
      </c>
      <c r="F446" t="s">
        <v>517</v>
      </c>
      <c r="G446">
        <v>1697.49</v>
      </c>
      <c r="H446">
        <v>121597.37</v>
      </c>
      <c r="I446">
        <v>6.42</v>
      </c>
      <c r="J446">
        <v>68187.62</v>
      </c>
      <c r="K446">
        <v>9</v>
      </c>
      <c r="L446">
        <v>5465.89</v>
      </c>
      <c r="M446" t="s">
        <v>521</v>
      </c>
      <c r="N446">
        <v>18</v>
      </c>
    </row>
    <row r="447" spans="1:14" x14ac:dyDescent="0.3">
      <c r="A447">
        <v>100446</v>
      </c>
      <c r="B447">
        <v>3393608339</v>
      </c>
      <c r="C447" t="s">
        <v>459</v>
      </c>
      <c r="D447" t="s">
        <v>515</v>
      </c>
      <c r="E447" s="5">
        <v>45737</v>
      </c>
      <c r="F447" t="s">
        <v>517</v>
      </c>
      <c r="G447">
        <v>41669</v>
      </c>
      <c r="H447">
        <v>482374.14</v>
      </c>
      <c r="I447">
        <v>4.47</v>
      </c>
      <c r="J447">
        <v>790147.46</v>
      </c>
      <c r="K447">
        <v>19</v>
      </c>
      <c r="L447">
        <v>15009.13</v>
      </c>
      <c r="M447" t="s">
        <v>520</v>
      </c>
      <c r="N447">
        <v>18</v>
      </c>
    </row>
    <row r="448" spans="1:14" x14ac:dyDescent="0.3">
      <c r="A448">
        <v>100447</v>
      </c>
      <c r="B448">
        <v>8991353685</v>
      </c>
      <c r="C448" t="s">
        <v>460</v>
      </c>
      <c r="D448" t="s">
        <v>515</v>
      </c>
      <c r="E448" s="5">
        <v>45738</v>
      </c>
      <c r="F448" t="s">
        <v>518</v>
      </c>
      <c r="G448">
        <v>14017.01</v>
      </c>
      <c r="H448">
        <v>455632.76</v>
      </c>
      <c r="I448">
        <v>10.08</v>
      </c>
      <c r="J448">
        <v>629212.55000000005</v>
      </c>
      <c r="K448">
        <v>5</v>
      </c>
      <c r="L448">
        <v>33947.1</v>
      </c>
      <c r="M448" t="s">
        <v>523</v>
      </c>
      <c r="N448">
        <v>18</v>
      </c>
    </row>
    <row r="449" spans="1:14" x14ac:dyDescent="0.3">
      <c r="A449">
        <v>100448</v>
      </c>
      <c r="B449">
        <v>1792261991</v>
      </c>
      <c r="C449" t="s">
        <v>461</v>
      </c>
      <c r="D449" t="s">
        <v>514</v>
      </c>
      <c r="E449" s="5">
        <v>45739</v>
      </c>
      <c r="F449" t="s">
        <v>518</v>
      </c>
      <c r="G449">
        <v>26144.9</v>
      </c>
      <c r="H449">
        <v>363850.19</v>
      </c>
      <c r="I449">
        <v>9.61</v>
      </c>
      <c r="J449">
        <v>714657.59</v>
      </c>
      <c r="K449">
        <v>6</v>
      </c>
      <c r="L449">
        <v>9323.76</v>
      </c>
      <c r="M449" t="s">
        <v>520</v>
      </c>
      <c r="N449">
        <v>18</v>
      </c>
    </row>
    <row r="450" spans="1:14" x14ac:dyDescent="0.3">
      <c r="A450">
        <v>100449</v>
      </c>
      <c r="B450">
        <v>2286754630</v>
      </c>
      <c r="C450" t="s">
        <v>462</v>
      </c>
      <c r="D450" t="s">
        <v>516</v>
      </c>
      <c r="E450" s="5">
        <v>45740</v>
      </c>
      <c r="F450" t="s">
        <v>518</v>
      </c>
      <c r="G450">
        <v>15286.92</v>
      </c>
      <c r="H450">
        <v>271359.45</v>
      </c>
      <c r="I450">
        <v>6.46</v>
      </c>
      <c r="J450">
        <v>846247.23</v>
      </c>
      <c r="K450">
        <v>3</v>
      </c>
      <c r="L450">
        <v>3715.38</v>
      </c>
      <c r="M450" t="s">
        <v>523</v>
      </c>
      <c r="N450">
        <v>18</v>
      </c>
    </row>
    <row r="451" spans="1:14" x14ac:dyDescent="0.3">
      <c r="A451">
        <v>100450</v>
      </c>
      <c r="B451">
        <v>2331168991</v>
      </c>
      <c r="C451" t="s">
        <v>463</v>
      </c>
      <c r="D451" t="s">
        <v>516</v>
      </c>
      <c r="E451" s="5">
        <v>45741</v>
      </c>
      <c r="F451" t="s">
        <v>518</v>
      </c>
      <c r="G451">
        <v>47063.62</v>
      </c>
      <c r="H451">
        <v>436284.89</v>
      </c>
      <c r="I451">
        <v>3.23</v>
      </c>
      <c r="J451">
        <v>812670.39</v>
      </c>
      <c r="K451">
        <v>1</v>
      </c>
      <c r="L451">
        <v>17226.18</v>
      </c>
      <c r="M451" t="s">
        <v>521</v>
      </c>
      <c r="N451">
        <v>18</v>
      </c>
    </row>
    <row r="452" spans="1:14" x14ac:dyDescent="0.3">
      <c r="A452">
        <v>100451</v>
      </c>
      <c r="B452">
        <v>2706468317</v>
      </c>
      <c r="C452" t="s">
        <v>464</v>
      </c>
      <c r="D452" t="s">
        <v>516</v>
      </c>
      <c r="E452" s="5">
        <v>45742</v>
      </c>
      <c r="F452" t="s">
        <v>518</v>
      </c>
      <c r="G452">
        <v>13335.19</v>
      </c>
      <c r="H452">
        <v>74019.649999999994</v>
      </c>
      <c r="I452">
        <v>10.55</v>
      </c>
      <c r="J452">
        <v>962874.14</v>
      </c>
      <c r="K452">
        <v>16</v>
      </c>
      <c r="L452">
        <v>38532.61</v>
      </c>
      <c r="M452" t="s">
        <v>522</v>
      </c>
      <c r="N452">
        <v>18</v>
      </c>
    </row>
    <row r="453" spans="1:14" x14ac:dyDescent="0.3">
      <c r="A453">
        <v>100452</v>
      </c>
      <c r="B453">
        <v>3684251440</v>
      </c>
      <c r="C453" t="s">
        <v>465</v>
      </c>
      <c r="D453" t="s">
        <v>516</v>
      </c>
      <c r="E453" s="5">
        <v>45743</v>
      </c>
      <c r="F453" t="s">
        <v>518</v>
      </c>
      <c r="G453">
        <v>21768.01</v>
      </c>
      <c r="H453">
        <v>397349.8</v>
      </c>
      <c r="I453">
        <v>3.1</v>
      </c>
      <c r="J453">
        <v>559138.31999999995</v>
      </c>
      <c r="K453">
        <v>11</v>
      </c>
      <c r="L453">
        <v>21270.26</v>
      </c>
      <c r="M453" t="s">
        <v>519</v>
      </c>
      <c r="N453">
        <v>18</v>
      </c>
    </row>
    <row r="454" spans="1:14" x14ac:dyDescent="0.3">
      <c r="A454">
        <v>100453</v>
      </c>
      <c r="B454">
        <v>2622320604</v>
      </c>
      <c r="C454" t="s">
        <v>466</v>
      </c>
      <c r="D454" t="s">
        <v>515</v>
      </c>
      <c r="E454" s="5">
        <v>45744</v>
      </c>
      <c r="F454" t="s">
        <v>517</v>
      </c>
      <c r="G454">
        <v>43700.15</v>
      </c>
      <c r="H454">
        <v>71162.2</v>
      </c>
      <c r="I454">
        <v>9.33</v>
      </c>
      <c r="J454">
        <v>514070.85</v>
      </c>
      <c r="K454">
        <v>13</v>
      </c>
      <c r="L454">
        <v>32995.67</v>
      </c>
      <c r="M454" t="s">
        <v>522</v>
      </c>
      <c r="N454">
        <v>18</v>
      </c>
    </row>
    <row r="455" spans="1:14" x14ac:dyDescent="0.3">
      <c r="A455">
        <v>100454</v>
      </c>
      <c r="B455">
        <v>8887985807</v>
      </c>
      <c r="C455" t="s">
        <v>467</v>
      </c>
      <c r="D455" t="s">
        <v>515</v>
      </c>
      <c r="E455" s="5">
        <v>45745</v>
      </c>
      <c r="F455" t="s">
        <v>517</v>
      </c>
      <c r="G455">
        <v>42175.71</v>
      </c>
      <c r="H455">
        <v>399163.22</v>
      </c>
      <c r="I455">
        <v>11.73</v>
      </c>
      <c r="J455">
        <v>431792.84</v>
      </c>
      <c r="K455">
        <v>10</v>
      </c>
      <c r="L455">
        <v>29401.34</v>
      </c>
      <c r="M455" t="s">
        <v>521</v>
      </c>
      <c r="N455">
        <v>18</v>
      </c>
    </row>
    <row r="456" spans="1:14" x14ac:dyDescent="0.3">
      <c r="A456">
        <v>100455</v>
      </c>
      <c r="B456">
        <v>6557879552</v>
      </c>
      <c r="C456" t="s">
        <v>468</v>
      </c>
      <c r="D456" t="s">
        <v>514</v>
      </c>
      <c r="E456" s="5">
        <v>45746</v>
      </c>
      <c r="F456" t="s">
        <v>518</v>
      </c>
      <c r="G456">
        <v>9712.02</v>
      </c>
      <c r="H456">
        <v>145126.10999999999</v>
      </c>
      <c r="I456">
        <v>6.94</v>
      </c>
      <c r="J456">
        <v>196006.49</v>
      </c>
      <c r="K456">
        <v>3</v>
      </c>
      <c r="L456">
        <v>2088.71</v>
      </c>
      <c r="M456" t="s">
        <v>523</v>
      </c>
      <c r="N456">
        <v>18</v>
      </c>
    </row>
    <row r="457" spans="1:14" x14ac:dyDescent="0.3">
      <c r="A457">
        <v>100456</v>
      </c>
      <c r="B457">
        <v>8361828210</v>
      </c>
      <c r="C457" t="s">
        <v>469</v>
      </c>
      <c r="D457" t="s">
        <v>514</v>
      </c>
      <c r="E457" s="5">
        <v>45747</v>
      </c>
      <c r="F457" t="s">
        <v>517</v>
      </c>
      <c r="G457">
        <v>40230.839999999997</v>
      </c>
      <c r="H457">
        <v>439774.38</v>
      </c>
      <c r="I457">
        <v>5.1100000000000003</v>
      </c>
      <c r="J457">
        <v>593976.87</v>
      </c>
      <c r="K457">
        <v>9</v>
      </c>
      <c r="L457">
        <v>49438.46</v>
      </c>
      <c r="M457" t="s">
        <v>522</v>
      </c>
      <c r="N457">
        <v>18</v>
      </c>
    </row>
    <row r="458" spans="1:14" x14ac:dyDescent="0.3">
      <c r="A458">
        <v>100457</v>
      </c>
      <c r="B458">
        <v>7590437877</v>
      </c>
      <c r="C458" t="s">
        <v>470</v>
      </c>
      <c r="D458" t="s">
        <v>515</v>
      </c>
      <c r="E458" s="5">
        <v>45748</v>
      </c>
      <c r="F458" t="s">
        <v>518</v>
      </c>
      <c r="G458">
        <v>23180.25</v>
      </c>
      <c r="H458">
        <v>472580.63</v>
      </c>
      <c r="I458">
        <v>9.34</v>
      </c>
      <c r="J458">
        <v>313161.90000000002</v>
      </c>
      <c r="K458">
        <v>12</v>
      </c>
      <c r="L458">
        <v>3029.98</v>
      </c>
      <c r="M458" t="s">
        <v>521</v>
      </c>
      <c r="N458">
        <v>18</v>
      </c>
    </row>
    <row r="459" spans="1:14" x14ac:dyDescent="0.3">
      <c r="A459">
        <v>100458</v>
      </c>
      <c r="B459">
        <v>7429617373</v>
      </c>
      <c r="C459" t="s">
        <v>471</v>
      </c>
      <c r="D459" t="s">
        <v>515</v>
      </c>
      <c r="E459" s="5">
        <v>45749</v>
      </c>
      <c r="F459" t="s">
        <v>517</v>
      </c>
      <c r="G459">
        <v>24406.959999999999</v>
      </c>
      <c r="H459">
        <v>82910.03</v>
      </c>
      <c r="I459">
        <v>10.35</v>
      </c>
      <c r="J459">
        <v>925242.14</v>
      </c>
      <c r="K459">
        <v>14</v>
      </c>
      <c r="L459">
        <v>48422.33</v>
      </c>
      <c r="M459" t="s">
        <v>520</v>
      </c>
      <c r="N459">
        <v>18</v>
      </c>
    </row>
    <row r="460" spans="1:14" x14ac:dyDescent="0.3">
      <c r="A460">
        <v>100459</v>
      </c>
      <c r="B460">
        <v>8582147506</v>
      </c>
      <c r="C460" t="s">
        <v>472</v>
      </c>
      <c r="D460" t="s">
        <v>516</v>
      </c>
      <c r="E460" s="5">
        <v>45750</v>
      </c>
      <c r="F460" t="s">
        <v>518</v>
      </c>
      <c r="G460">
        <v>7107.26</v>
      </c>
      <c r="H460">
        <v>236711.05</v>
      </c>
      <c r="I460">
        <v>7.92</v>
      </c>
      <c r="J460">
        <v>604031.26</v>
      </c>
      <c r="K460">
        <v>1</v>
      </c>
      <c r="L460">
        <v>27943.34</v>
      </c>
      <c r="M460" t="s">
        <v>519</v>
      </c>
      <c r="N460">
        <v>18</v>
      </c>
    </row>
    <row r="461" spans="1:14" x14ac:dyDescent="0.3">
      <c r="A461">
        <v>100460</v>
      </c>
      <c r="B461">
        <v>2436077319</v>
      </c>
      <c r="C461" t="s">
        <v>473</v>
      </c>
      <c r="D461" t="s">
        <v>516</v>
      </c>
      <c r="E461" s="5">
        <v>45751</v>
      </c>
      <c r="F461" t="s">
        <v>518</v>
      </c>
      <c r="G461">
        <v>4489.7700000000004</v>
      </c>
      <c r="H461">
        <v>490683.82</v>
      </c>
      <c r="I461">
        <v>11.7</v>
      </c>
      <c r="J461">
        <v>613198.17000000004</v>
      </c>
      <c r="K461">
        <v>18</v>
      </c>
      <c r="L461">
        <v>48194.79</v>
      </c>
      <c r="M461" t="s">
        <v>522</v>
      </c>
      <c r="N461">
        <v>18</v>
      </c>
    </row>
    <row r="462" spans="1:14" x14ac:dyDescent="0.3">
      <c r="A462">
        <v>100461</v>
      </c>
      <c r="B462">
        <v>1324284470</v>
      </c>
      <c r="C462" t="s">
        <v>474</v>
      </c>
      <c r="D462" t="s">
        <v>514</v>
      </c>
      <c r="E462" s="5">
        <v>45752</v>
      </c>
      <c r="F462" t="s">
        <v>517</v>
      </c>
      <c r="G462">
        <v>36533</v>
      </c>
      <c r="H462">
        <v>246869.64</v>
      </c>
      <c r="I462">
        <v>3.47</v>
      </c>
      <c r="J462">
        <v>387178.43</v>
      </c>
      <c r="K462">
        <v>17</v>
      </c>
      <c r="L462">
        <v>6622.93</v>
      </c>
      <c r="M462" t="s">
        <v>523</v>
      </c>
      <c r="N462">
        <v>18</v>
      </c>
    </row>
    <row r="463" spans="1:14" x14ac:dyDescent="0.3">
      <c r="A463">
        <v>100462</v>
      </c>
      <c r="B463">
        <v>9149401554</v>
      </c>
      <c r="C463" t="s">
        <v>475</v>
      </c>
      <c r="D463" t="s">
        <v>515</v>
      </c>
      <c r="E463" s="5">
        <v>45753</v>
      </c>
      <c r="F463" t="s">
        <v>517</v>
      </c>
      <c r="G463">
        <v>25074.83</v>
      </c>
      <c r="H463">
        <v>433138.29</v>
      </c>
      <c r="I463">
        <v>7.54</v>
      </c>
      <c r="J463">
        <v>99389.88</v>
      </c>
      <c r="K463">
        <v>9</v>
      </c>
      <c r="L463">
        <v>25030.02</v>
      </c>
      <c r="M463" t="s">
        <v>520</v>
      </c>
      <c r="N463">
        <v>18</v>
      </c>
    </row>
    <row r="464" spans="1:14" x14ac:dyDescent="0.3">
      <c r="A464">
        <v>100463</v>
      </c>
      <c r="B464">
        <v>7556604577</v>
      </c>
      <c r="C464" t="s">
        <v>476</v>
      </c>
      <c r="D464" t="s">
        <v>514</v>
      </c>
      <c r="E464" s="5">
        <v>45754</v>
      </c>
      <c r="F464" t="s">
        <v>518</v>
      </c>
      <c r="G464">
        <v>22124.11</v>
      </c>
      <c r="H464">
        <v>298478.45</v>
      </c>
      <c r="I464">
        <v>9.4700000000000006</v>
      </c>
      <c r="J464">
        <v>80156.58</v>
      </c>
      <c r="K464">
        <v>9</v>
      </c>
      <c r="L464">
        <v>9305.7000000000007</v>
      </c>
      <c r="M464" t="s">
        <v>521</v>
      </c>
      <c r="N464">
        <v>18</v>
      </c>
    </row>
    <row r="465" spans="1:14" x14ac:dyDescent="0.3">
      <c r="A465">
        <v>100464</v>
      </c>
      <c r="B465">
        <v>9018677126</v>
      </c>
      <c r="C465" t="s">
        <v>477</v>
      </c>
      <c r="D465" t="s">
        <v>515</v>
      </c>
      <c r="E465" s="5">
        <v>45755</v>
      </c>
      <c r="F465" t="s">
        <v>518</v>
      </c>
      <c r="G465">
        <v>36610.660000000003</v>
      </c>
      <c r="H465">
        <v>193911.65</v>
      </c>
      <c r="I465">
        <v>10.76</v>
      </c>
      <c r="J465">
        <v>452168.39</v>
      </c>
      <c r="K465">
        <v>10</v>
      </c>
      <c r="L465">
        <v>3497.77</v>
      </c>
      <c r="M465" t="s">
        <v>519</v>
      </c>
      <c r="N465">
        <v>18</v>
      </c>
    </row>
    <row r="466" spans="1:14" x14ac:dyDescent="0.3">
      <c r="A466">
        <v>100465</v>
      </c>
      <c r="B466">
        <v>2752280071</v>
      </c>
      <c r="C466" t="s">
        <v>478</v>
      </c>
      <c r="D466" t="s">
        <v>516</v>
      </c>
      <c r="E466" s="5">
        <v>45756</v>
      </c>
      <c r="F466" t="s">
        <v>517</v>
      </c>
      <c r="G466">
        <v>38392.89</v>
      </c>
      <c r="H466">
        <v>150033.94</v>
      </c>
      <c r="I466">
        <v>4.6100000000000003</v>
      </c>
      <c r="J466">
        <v>130337.11</v>
      </c>
      <c r="K466">
        <v>19</v>
      </c>
      <c r="L466">
        <v>31258.93</v>
      </c>
      <c r="M466" t="s">
        <v>523</v>
      </c>
      <c r="N466">
        <v>18</v>
      </c>
    </row>
    <row r="467" spans="1:14" x14ac:dyDescent="0.3">
      <c r="A467">
        <v>100466</v>
      </c>
      <c r="B467">
        <v>3369630520</v>
      </c>
      <c r="C467" t="s">
        <v>479</v>
      </c>
      <c r="D467" t="s">
        <v>514</v>
      </c>
      <c r="E467" s="5">
        <v>45757</v>
      </c>
      <c r="F467" t="s">
        <v>517</v>
      </c>
      <c r="G467">
        <v>8365.9500000000007</v>
      </c>
      <c r="H467">
        <v>109579.31</v>
      </c>
      <c r="I467">
        <v>10.199999999999999</v>
      </c>
      <c r="J467">
        <v>626504.61</v>
      </c>
      <c r="K467">
        <v>15</v>
      </c>
      <c r="L467">
        <v>11181.39</v>
      </c>
      <c r="M467" t="s">
        <v>521</v>
      </c>
      <c r="N467">
        <v>18</v>
      </c>
    </row>
    <row r="468" spans="1:14" x14ac:dyDescent="0.3">
      <c r="A468">
        <v>100467</v>
      </c>
      <c r="B468">
        <v>3555715911</v>
      </c>
      <c r="C468" t="s">
        <v>480</v>
      </c>
      <c r="D468" t="s">
        <v>514</v>
      </c>
      <c r="E468" s="5">
        <v>45758</v>
      </c>
      <c r="F468" t="s">
        <v>518</v>
      </c>
      <c r="G468">
        <v>30706.14</v>
      </c>
      <c r="H468">
        <v>383281.11</v>
      </c>
      <c r="I468">
        <v>7.97</v>
      </c>
      <c r="J468">
        <v>886924.36</v>
      </c>
      <c r="K468">
        <v>5</v>
      </c>
      <c r="L468">
        <v>29797.15</v>
      </c>
      <c r="M468" t="s">
        <v>521</v>
      </c>
      <c r="N468">
        <v>18</v>
      </c>
    </row>
    <row r="469" spans="1:14" x14ac:dyDescent="0.3">
      <c r="A469">
        <v>100468</v>
      </c>
      <c r="B469">
        <v>6752126200</v>
      </c>
      <c r="C469" t="s">
        <v>481</v>
      </c>
      <c r="D469" t="s">
        <v>515</v>
      </c>
      <c r="E469" s="5">
        <v>45759</v>
      </c>
      <c r="F469" t="s">
        <v>517</v>
      </c>
      <c r="G469">
        <v>7200.03</v>
      </c>
      <c r="H469">
        <v>199404.85</v>
      </c>
      <c r="I469">
        <v>6.57</v>
      </c>
      <c r="J469">
        <v>888769.08</v>
      </c>
      <c r="K469">
        <v>15</v>
      </c>
      <c r="L469">
        <v>6505.86</v>
      </c>
      <c r="M469" t="s">
        <v>522</v>
      </c>
      <c r="N469">
        <v>18</v>
      </c>
    </row>
    <row r="470" spans="1:14" x14ac:dyDescent="0.3">
      <c r="A470">
        <v>100469</v>
      </c>
      <c r="B470">
        <v>3391101019</v>
      </c>
      <c r="C470" t="s">
        <v>482</v>
      </c>
      <c r="D470" t="s">
        <v>516</v>
      </c>
      <c r="E470" s="5">
        <v>45760</v>
      </c>
      <c r="F470" t="s">
        <v>518</v>
      </c>
      <c r="G470">
        <v>37693.07</v>
      </c>
      <c r="H470">
        <v>260524.98</v>
      </c>
      <c r="I470">
        <v>4.1900000000000004</v>
      </c>
      <c r="J470">
        <v>676093.14</v>
      </c>
      <c r="K470">
        <v>2</v>
      </c>
      <c r="L470">
        <v>17267.34</v>
      </c>
      <c r="M470" t="s">
        <v>522</v>
      </c>
      <c r="N470">
        <v>18</v>
      </c>
    </row>
    <row r="471" spans="1:14" x14ac:dyDescent="0.3">
      <c r="A471">
        <v>100470</v>
      </c>
      <c r="B471">
        <v>8753768738</v>
      </c>
      <c r="C471" t="s">
        <v>483</v>
      </c>
      <c r="D471" t="s">
        <v>514</v>
      </c>
      <c r="E471" s="5">
        <v>45761</v>
      </c>
      <c r="F471" t="s">
        <v>518</v>
      </c>
      <c r="G471">
        <v>33019.279999999999</v>
      </c>
      <c r="H471">
        <v>251239.49</v>
      </c>
      <c r="I471">
        <v>10.79</v>
      </c>
      <c r="J471">
        <v>250670.24</v>
      </c>
      <c r="K471">
        <v>13</v>
      </c>
      <c r="L471">
        <v>39300</v>
      </c>
      <c r="M471" t="s">
        <v>523</v>
      </c>
      <c r="N471">
        <v>18</v>
      </c>
    </row>
    <row r="472" spans="1:14" x14ac:dyDescent="0.3">
      <c r="A472">
        <v>100471</v>
      </c>
      <c r="B472">
        <v>7885680415</v>
      </c>
      <c r="C472" t="s">
        <v>484</v>
      </c>
      <c r="D472" t="s">
        <v>516</v>
      </c>
      <c r="E472" s="5">
        <v>45762</v>
      </c>
      <c r="F472" t="s">
        <v>518</v>
      </c>
      <c r="G472">
        <v>47852.42</v>
      </c>
      <c r="H472">
        <v>292866.71999999997</v>
      </c>
      <c r="I472">
        <v>4.42</v>
      </c>
      <c r="J472">
        <v>869846.99</v>
      </c>
      <c r="K472">
        <v>16</v>
      </c>
      <c r="L472">
        <v>22415.52</v>
      </c>
      <c r="M472" t="s">
        <v>521</v>
      </c>
      <c r="N472">
        <v>18</v>
      </c>
    </row>
    <row r="473" spans="1:14" x14ac:dyDescent="0.3">
      <c r="A473">
        <v>100472</v>
      </c>
      <c r="B473">
        <v>1605941941</v>
      </c>
      <c r="C473" t="s">
        <v>485</v>
      </c>
      <c r="D473" t="s">
        <v>514</v>
      </c>
      <c r="E473" s="5">
        <v>45763</v>
      </c>
      <c r="F473" t="s">
        <v>518</v>
      </c>
      <c r="G473">
        <v>3913.42</v>
      </c>
      <c r="H473">
        <v>434132.8</v>
      </c>
      <c r="I473">
        <v>5.79</v>
      </c>
      <c r="J473">
        <v>891788.76</v>
      </c>
      <c r="K473">
        <v>15</v>
      </c>
      <c r="L473">
        <v>31759.53</v>
      </c>
      <c r="M473" t="s">
        <v>522</v>
      </c>
      <c r="N473">
        <v>18</v>
      </c>
    </row>
    <row r="474" spans="1:14" x14ac:dyDescent="0.3">
      <c r="A474">
        <v>100473</v>
      </c>
      <c r="B474">
        <v>2745441677</v>
      </c>
      <c r="C474" t="s">
        <v>486</v>
      </c>
      <c r="D474" t="s">
        <v>516</v>
      </c>
      <c r="E474" s="5">
        <v>45764</v>
      </c>
      <c r="F474" t="s">
        <v>517</v>
      </c>
      <c r="G474">
        <v>3324.21</v>
      </c>
      <c r="H474">
        <v>490562.28</v>
      </c>
      <c r="I474">
        <v>5.61</v>
      </c>
      <c r="J474">
        <v>236820.91</v>
      </c>
      <c r="K474">
        <v>10</v>
      </c>
      <c r="L474">
        <v>32725.439999999999</v>
      </c>
      <c r="M474" t="s">
        <v>519</v>
      </c>
      <c r="N474">
        <v>18</v>
      </c>
    </row>
    <row r="475" spans="1:14" x14ac:dyDescent="0.3">
      <c r="A475">
        <v>100474</v>
      </c>
      <c r="B475">
        <v>4764298642</v>
      </c>
      <c r="C475" t="s">
        <v>487</v>
      </c>
      <c r="D475" t="s">
        <v>515</v>
      </c>
      <c r="E475" s="5">
        <v>45765</v>
      </c>
      <c r="F475" t="s">
        <v>517</v>
      </c>
      <c r="G475">
        <v>14468.26</v>
      </c>
      <c r="H475">
        <v>209716.26</v>
      </c>
      <c r="I475">
        <v>10.84</v>
      </c>
      <c r="J475">
        <v>750554.78</v>
      </c>
      <c r="K475">
        <v>14</v>
      </c>
      <c r="L475">
        <v>42344</v>
      </c>
      <c r="M475" t="s">
        <v>519</v>
      </c>
      <c r="N475">
        <v>18</v>
      </c>
    </row>
    <row r="476" spans="1:14" x14ac:dyDescent="0.3">
      <c r="A476">
        <v>100475</v>
      </c>
      <c r="B476">
        <v>9206067584</v>
      </c>
      <c r="C476" t="s">
        <v>488</v>
      </c>
      <c r="D476" t="s">
        <v>514</v>
      </c>
      <c r="E476" s="5">
        <v>45766</v>
      </c>
      <c r="F476" t="s">
        <v>517</v>
      </c>
      <c r="G476">
        <v>13454.43</v>
      </c>
      <c r="H476">
        <v>415484.27</v>
      </c>
      <c r="I476">
        <v>9.0500000000000007</v>
      </c>
      <c r="J476">
        <v>322193.57</v>
      </c>
      <c r="K476">
        <v>10</v>
      </c>
      <c r="L476">
        <v>16921.22</v>
      </c>
      <c r="M476" t="s">
        <v>521</v>
      </c>
      <c r="N476">
        <v>18</v>
      </c>
    </row>
    <row r="477" spans="1:14" x14ac:dyDescent="0.3">
      <c r="A477">
        <v>100476</v>
      </c>
      <c r="B477">
        <v>8838776318</v>
      </c>
      <c r="C477" t="s">
        <v>489</v>
      </c>
      <c r="D477" t="s">
        <v>514</v>
      </c>
      <c r="E477" s="5">
        <v>45767</v>
      </c>
      <c r="F477" t="s">
        <v>517</v>
      </c>
      <c r="G477">
        <v>12725.45</v>
      </c>
      <c r="H477">
        <v>384618.62</v>
      </c>
      <c r="I477">
        <v>10.17</v>
      </c>
      <c r="J477">
        <v>812508.3</v>
      </c>
      <c r="K477">
        <v>14</v>
      </c>
      <c r="L477">
        <v>34677.480000000003</v>
      </c>
      <c r="M477" t="s">
        <v>522</v>
      </c>
      <c r="N477">
        <v>18</v>
      </c>
    </row>
    <row r="478" spans="1:14" x14ac:dyDescent="0.3">
      <c r="A478">
        <v>100477</v>
      </c>
      <c r="B478">
        <v>6854294722</v>
      </c>
      <c r="C478" t="s">
        <v>490</v>
      </c>
      <c r="D478" t="s">
        <v>516</v>
      </c>
      <c r="E478" s="5">
        <v>45768</v>
      </c>
      <c r="F478" t="s">
        <v>517</v>
      </c>
      <c r="G478">
        <v>45359.6</v>
      </c>
      <c r="H478">
        <v>291029.19</v>
      </c>
      <c r="I478">
        <v>5.25</v>
      </c>
      <c r="J478">
        <v>997376</v>
      </c>
      <c r="K478">
        <v>9</v>
      </c>
      <c r="L478">
        <v>48119.17</v>
      </c>
      <c r="M478" t="s">
        <v>523</v>
      </c>
      <c r="N478">
        <v>18</v>
      </c>
    </row>
    <row r="479" spans="1:14" x14ac:dyDescent="0.3">
      <c r="A479">
        <v>100478</v>
      </c>
      <c r="B479">
        <v>9736943222</v>
      </c>
      <c r="C479" t="s">
        <v>491</v>
      </c>
      <c r="D479" t="s">
        <v>516</v>
      </c>
      <c r="E479" s="5">
        <v>45769</v>
      </c>
      <c r="F479" t="s">
        <v>517</v>
      </c>
      <c r="G479">
        <v>12852.54</v>
      </c>
      <c r="H479">
        <v>478463.1</v>
      </c>
      <c r="I479">
        <v>8.6199999999999992</v>
      </c>
      <c r="J479">
        <v>78524.710000000006</v>
      </c>
      <c r="K479">
        <v>14</v>
      </c>
      <c r="L479">
        <v>36781.919999999998</v>
      </c>
      <c r="M479" t="s">
        <v>523</v>
      </c>
      <c r="N479">
        <v>18</v>
      </c>
    </row>
    <row r="480" spans="1:14" x14ac:dyDescent="0.3">
      <c r="A480">
        <v>100479</v>
      </c>
      <c r="B480">
        <v>2482588964</v>
      </c>
      <c r="C480" t="s">
        <v>492</v>
      </c>
      <c r="D480" t="s">
        <v>514</v>
      </c>
      <c r="E480" s="5">
        <v>45770</v>
      </c>
      <c r="F480" t="s">
        <v>517</v>
      </c>
      <c r="G480">
        <v>13961.51</v>
      </c>
      <c r="H480">
        <v>108232.51</v>
      </c>
      <c r="I480">
        <v>8.15</v>
      </c>
      <c r="J480">
        <v>902497.57</v>
      </c>
      <c r="K480">
        <v>3</v>
      </c>
      <c r="L480">
        <v>25003.65</v>
      </c>
      <c r="M480" t="s">
        <v>523</v>
      </c>
      <c r="N480">
        <v>18</v>
      </c>
    </row>
    <row r="481" spans="1:14" x14ac:dyDescent="0.3">
      <c r="A481">
        <v>100480</v>
      </c>
      <c r="B481">
        <v>8618561279</v>
      </c>
      <c r="C481" t="s">
        <v>493</v>
      </c>
      <c r="D481" t="s">
        <v>515</v>
      </c>
      <c r="E481" s="5">
        <v>45771</v>
      </c>
      <c r="F481" t="s">
        <v>518</v>
      </c>
      <c r="G481">
        <v>38090.21</v>
      </c>
      <c r="H481">
        <v>63539.46</v>
      </c>
      <c r="I481">
        <v>10.5</v>
      </c>
      <c r="J481">
        <v>641499.01</v>
      </c>
      <c r="K481">
        <v>16</v>
      </c>
      <c r="L481">
        <v>31905.15</v>
      </c>
      <c r="M481" t="s">
        <v>519</v>
      </c>
      <c r="N481">
        <v>18</v>
      </c>
    </row>
    <row r="482" spans="1:14" x14ac:dyDescent="0.3">
      <c r="A482">
        <v>100481</v>
      </c>
      <c r="B482">
        <v>6853000584</v>
      </c>
      <c r="C482" t="s">
        <v>494</v>
      </c>
      <c r="D482" t="s">
        <v>516</v>
      </c>
      <c r="E482" s="5">
        <v>45772</v>
      </c>
      <c r="F482" t="s">
        <v>517</v>
      </c>
      <c r="G482">
        <v>22762.12</v>
      </c>
      <c r="H482">
        <v>428441.36</v>
      </c>
      <c r="I482">
        <v>11.15</v>
      </c>
      <c r="J482">
        <v>974713.49</v>
      </c>
      <c r="K482">
        <v>2</v>
      </c>
      <c r="L482">
        <v>37244.46</v>
      </c>
      <c r="M482" t="s">
        <v>522</v>
      </c>
      <c r="N482">
        <v>18</v>
      </c>
    </row>
    <row r="483" spans="1:14" x14ac:dyDescent="0.3">
      <c r="A483">
        <v>100482</v>
      </c>
      <c r="B483">
        <v>8993226292</v>
      </c>
      <c r="C483" t="s">
        <v>495</v>
      </c>
      <c r="D483" t="s">
        <v>516</v>
      </c>
      <c r="E483" s="5">
        <v>45773</v>
      </c>
      <c r="F483" t="s">
        <v>517</v>
      </c>
      <c r="G483">
        <v>38947.17</v>
      </c>
      <c r="H483">
        <v>225183.41</v>
      </c>
      <c r="I483">
        <v>3.11</v>
      </c>
      <c r="J483">
        <v>491759.04</v>
      </c>
      <c r="K483">
        <v>10</v>
      </c>
      <c r="L483">
        <v>31001.51</v>
      </c>
      <c r="M483" t="s">
        <v>522</v>
      </c>
      <c r="N483">
        <v>18</v>
      </c>
    </row>
    <row r="484" spans="1:14" x14ac:dyDescent="0.3">
      <c r="A484">
        <v>100483</v>
      </c>
      <c r="B484">
        <v>8644005739</v>
      </c>
      <c r="C484" t="s">
        <v>496</v>
      </c>
      <c r="D484" t="s">
        <v>516</v>
      </c>
      <c r="E484" s="5">
        <v>45774</v>
      </c>
      <c r="F484" t="s">
        <v>518</v>
      </c>
      <c r="G484">
        <v>3735.62</v>
      </c>
      <c r="H484">
        <v>425014.74</v>
      </c>
      <c r="I484">
        <v>9.07</v>
      </c>
      <c r="J484">
        <v>855018.53</v>
      </c>
      <c r="K484">
        <v>3</v>
      </c>
      <c r="L484">
        <v>1817.11</v>
      </c>
      <c r="M484" t="s">
        <v>519</v>
      </c>
      <c r="N484">
        <v>18</v>
      </c>
    </row>
    <row r="485" spans="1:14" x14ac:dyDescent="0.3">
      <c r="A485">
        <v>100484</v>
      </c>
      <c r="B485">
        <v>7724959389</v>
      </c>
      <c r="C485" t="s">
        <v>497</v>
      </c>
      <c r="D485" t="s">
        <v>514</v>
      </c>
      <c r="E485" s="5">
        <v>45775</v>
      </c>
      <c r="F485" t="s">
        <v>517</v>
      </c>
      <c r="G485">
        <v>24634.77</v>
      </c>
      <c r="H485">
        <v>447614.2</v>
      </c>
      <c r="I485">
        <v>3.47</v>
      </c>
      <c r="J485">
        <v>109274.37</v>
      </c>
      <c r="K485">
        <v>11</v>
      </c>
      <c r="L485">
        <v>10543.9</v>
      </c>
      <c r="M485" t="s">
        <v>523</v>
      </c>
      <c r="N485">
        <v>18</v>
      </c>
    </row>
    <row r="486" spans="1:14" x14ac:dyDescent="0.3">
      <c r="A486">
        <v>100485</v>
      </c>
      <c r="B486">
        <v>7318178006</v>
      </c>
      <c r="C486" t="s">
        <v>498</v>
      </c>
      <c r="D486" t="s">
        <v>514</v>
      </c>
      <c r="E486" s="5">
        <v>45776</v>
      </c>
      <c r="F486" t="s">
        <v>517</v>
      </c>
      <c r="G486">
        <v>2163.87</v>
      </c>
      <c r="H486">
        <v>40604.22</v>
      </c>
      <c r="I486">
        <v>7.94</v>
      </c>
      <c r="J486">
        <v>368515.1</v>
      </c>
      <c r="K486">
        <v>11</v>
      </c>
      <c r="L486">
        <v>40712.94</v>
      </c>
      <c r="M486" t="s">
        <v>523</v>
      </c>
      <c r="N486">
        <v>18</v>
      </c>
    </row>
    <row r="487" spans="1:14" x14ac:dyDescent="0.3">
      <c r="A487">
        <v>100486</v>
      </c>
      <c r="B487">
        <v>3082107249</v>
      </c>
      <c r="C487" t="s">
        <v>499</v>
      </c>
      <c r="D487" t="s">
        <v>514</v>
      </c>
      <c r="E487" s="5">
        <v>45777</v>
      </c>
      <c r="F487" t="s">
        <v>518</v>
      </c>
      <c r="G487">
        <v>3601.33</v>
      </c>
      <c r="H487">
        <v>442897.73</v>
      </c>
      <c r="I487">
        <v>5.59</v>
      </c>
      <c r="J487">
        <v>113665.71</v>
      </c>
      <c r="K487">
        <v>13</v>
      </c>
      <c r="L487">
        <v>14359.88</v>
      </c>
      <c r="M487" t="s">
        <v>521</v>
      </c>
      <c r="N487">
        <v>18</v>
      </c>
    </row>
    <row r="488" spans="1:14" x14ac:dyDescent="0.3">
      <c r="A488">
        <v>100487</v>
      </c>
      <c r="B488">
        <v>8480488456</v>
      </c>
      <c r="C488" t="s">
        <v>500</v>
      </c>
      <c r="D488" t="s">
        <v>514</v>
      </c>
      <c r="E488" s="5">
        <v>45778</v>
      </c>
      <c r="F488" t="s">
        <v>517</v>
      </c>
      <c r="G488">
        <v>45368.65</v>
      </c>
      <c r="H488">
        <v>229676.34</v>
      </c>
      <c r="I488">
        <v>5.76</v>
      </c>
      <c r="J488">
        <v>976575.98</v>
      </c>
      <c r="K488">
        <v>7</v>
      </c>
      <c r="L488">
        <v>36846.54</v>
      </c>
      <c r="M488" t="s">
        <v>520</v>
      </c>
      <c r="N488">
        <v>18</v>
      </c>
    </row>
    <row r="489" spans="1:14" x14ac:dyDescent="0.3">
      <c r="A489">
        <v>100488</v>
      </c>
      <c r="B489">
        <v>2728939288</v>
      </c>
      <c r="C489" t="s">
        <v>501</v>
      </c>
      <c r="D489" t="s">
        <v>515</v>
      </c>
      <c r="E489" s="5">
        <v>45779</v>
      </c>
      <c r="F489" t="s">
        <v>517</v>
      </c>
      <c r="G489">
        <v>7392.65</v>
      </c>
      <c r="H489">
        <v>260111.92</v>
      </c>
      <c r="I489">
        <v>6.18</v>
      </c>
      <c r="J489">
        <v>826125.21</v>
      </c>
      <c r="K489">
        <v>17</v>
      </c>
      <c r="L489">
        <v>19233.89</v>
      </c>
      <c r="M489" t="s">
        <v>522</v>
      </c>
      <c r="N489">
        <v>18</v>
      </c>
    </row>
    <row r="490" spans="1:14" x14ac:dyDescent="0.3">
      <c r="A490">
        <v>100489</v>
      </c>
      <c r="B490">
        <v>8065453845</v>
      </c>
      <c r="C490" t="s">
        <v>502</v>
      </c>
      <c r="D490" t="s">
        <v>515</v>
      </c>
      <c r="E490" s="5">
        <v>45780</v>
      </c>
      <c r="F490" t="s">
        <v>517</v>
      </c>
      <c r="G490">
        <v>26854.82</v>
      </c>
      <c r="H490">
        <v>317030.33</v>
      </c>
      <c r="I490">
        <v>8.59</v>
      </c>
      <c r="J490">
        <v>859920.05</v>
      </c>
      <c r="K490">
        <v>2</v>
      </c>
      <c r="L490">
        <v>26572.33</v>
      </c>
      <c r="M490" t="s">
        <v>522</v>
      </c>
      <c r="N490">
        <v>18</v>
      </c>
    </row>
    <row r="491" spans="1:14" x14ac:dyDescent="0.3">
      <c r="A491">
        <v>100490</v>
      </c>
      <c r="B491">
        <v>9162895900</v>
      </c>
      <c r="C491" t="s">
        <v>503</v>
      </c>
      <c r="D491" t="s">
        <v>514</v>
      </c>
      <c r="E491" s="5">
        <v>45781</v>
      </c>
      <c r="F491" t="s">
        <v>518</v>
      </c>
      <c r="G491">
        <v>20849.23</v>
      </c>
      <c r="H491">
        <v>463927.48</v>
      </c>
      <c r="I491">
        <v>6.01</v>
      </c>
      <c r="J491">
        <v>941066.97</v>
      </c>
      <c r="K491">
        <v>12</v>
      </c>
      <c r="L491">
        <v>4330.6899999999996</v>
      </c>
      <c r="M491" t="s">
        <v>522</v>
      </c>
      <c r="N491">
        <v>18</v>
      </c>
    </row>
    <row r="492" spans="1:14" x14ac:dyDescent="0.3">
      <c r="A492">
        <v>100491</v>
      </c>
      <c r="B492">
        <v>3968775265</v>
      </c>
      <c r="C492" t="s">
        <v>504</v>
      </c>
      <c r="D492" t="s">
        <v>515</v>
      </c>
      <c r="E492" s="5">
        <v>45782</v>
      </c>
      <c r="F492" t="s">
        <v>517</v>
      </c>
      <c r="G492">
        <v>17693.490000000002</v>
      </c>
      <c r="H492">
        <v>19366.89</v>
      </c>
      <c r="I492">
        <v>9.59</v>
      </c>
      <c r="J492">
        <v>130848.31</v>
      </c>
      <c r="K492">
        <v>10</v>
      </c>
      <c r="L492">
        <v>9880.0499999999993</v>
      </c>
      <c r="M492" t="s">
        <v>520</v>
      </c>
      <c r="N492">
        <v>18</v>
      </c>
    </row>
    <row r="493" spans="1:14" x14ac:dyDescent="0.3">
      <c r="A493">
        <v>100492</v>
      </c>
      <c r="B493">
        <v>7569846911</v>
      </c>
      <c r="C493" t="s">
        <v>505</v>
      </c>
      <c r="D493" t="s">
        <v>516</v>
      </c>
      <c r="E493" s="5">
        <v>45783</v>
      </c>
      <c r="F493" t="s">
        <v>517</v>
      </c>
      <c r="G493">
        <v>45041.75</v>
      </c>
      <c r="H493">
        <v>243653.3</v>
      </c>
      <c r="I493">
        <v>6.64</v>
      </c>
      <c r="J493">
        <v>416317.71</v>
      </c>
      <c r="K493">
        <v>18</v>
      </c>
      <c r="L493">
        <v>47902.65</v>
      </c>
      <c r="M493" t="s">
        <v>521</v>
      </c>
      <c r="N493">
        <v>18</v>
      </c>
    </row>
    <row r="494" spans="1:14" x14ac:dyDescent="0.3">
      <c r="A494">
        <v>100493</v>
      </c>
      <c r="B494">
        <v>4500632105</v>
      </c>
      <c r="C494" t="s">
        <v>506</v>
      </c>
      <c r="D494" t="s">
        <v>516</v>
      </c>
      <c r="E494" s="5">
        <v>45784</v>
      </c>
      <c r="F494" t="s">
        <v>518</v>
      </c>
      <c r="G494">
        <v>1580.26</v>
      </c>
      <c r="H494">
        <v>346983.8</v>
      </c>
      <c r="I494">
        <v>3.62</v>
      </c>
      <c r="J494">
        <v>117483.14</v>
      </c>
      <c r="K494">
        <v>11</v>
      </c>
      <c r="L494">
        <v>44616.76</v>
      </c>
      <c r="M494" t="s">
        <v>520</v>
      </c>
      <c r="N494">
        <v>18</v>
      </c>
    </row>
    <row r="495" spans="1:14" x14ac:dyDescent="0.3">
      <c r="A495">
        <v>100494</v>
      </c>
      <c r="B495">
        <v>5583483425</v>
      </c>
      <c r="C495" t="s">
        <v>507</v>
      </c>
      <c r="D495" t="s">
        <v>516</v>
      </c>
      <c r="E495" s="5">
        <v>45785</v>
      </c>
      <c r="F495" t="s">
        <v>517</v>
      </c>
      <c r="G495">
        <v>33357.589999999997</v>
      </c>
      <c r="H495">
        <v>364126.41</v>
      </c>
      <c r="I495">
        <v>10.050000000000001</v>
      </c>
      <c r="J495">
        <v>250253.45</v>
      </c>
      <c r="K495">
        <v>16</v>
      </c>
      <c r="L495">
        <v>32961.480000000003</v>
      </c>
      <c r="M495" t="s">
        <v>523</v>
      </c>
      <c r="N495">
        <v>18</v>
      </c>
    </row>
    <row r="496" spans="1:14" x14ac:dyDescent="0.3">
      <c r="A496">
        <v>100495</v>
      </c>
      <c r="B496">
        <v>2740527268</v>
      </c>
      <c r="C496" t="s">
        <v>508</v>
      </c>
      <c r="D496" t="s">
        <v>514</v>
      </c>
      <c r="E496" s="5">
        <v>45786</v>
      </c>
      <c r="F496" t="s">
        <v>518</v>
      </c>
      <c r="G496">
        <v>48188.02</v>
      </c>
      <c r="H496">
        <v>349340.89</v>
      </c>
      <c r="I496">
        <v>5.57</v>
      </c>
      <c r="J496">
        <v>267897.49</v>
      </c>
      <c r="K496">
        <v>17</v>
      </c>
      <c r="L496">
        <v>23522.59</v>
      </c>
      <c r="M496" t="s">
        <v>523</v>
      </c>
      <c r="N496">
        <v>18</v>
      </c>
    </row>
    <row r="497" spans="1:14" x14ac:dyDescent="0.3">
      <c r="A497">
        <v>100496</v>
      </c>
      <c r="B497">
        <v>3136595429</v>
      </c>
      <c r="C497" t="s">
        <v>509</v>
      </c>
      <c r="D497" t="s">
        <v>516</v>
      </c>
      <c r="E497" s="5">
        <v>45787</v>
      </c>
      <c r="F497" t="s">
        <v>518</v>
      </c>
      <c r="G497">
        <v>28228.33</v>
      </c>
      <c r="H497">
        <v>75873.210000000006</v>
      </c>
      <c r="I497">
        <v>6.89</v>
      </c>
      <c r="J497">
        <v>495651.85</v>
      </c>
      <c r="K497">
        <v>19</v>
      </c>
      <c r="L497">
        <v>34112.300000000003</v>
      </c>
      <c r="M497" t="s">
        <v>522</v>
      </c>
      <c r="N497">
        <v>18</v>
      </c>
    </row>
    <row r="498" spans="1:14" x14ac:dyDescent="0.3">
      <c r="A498">
        <v>100497</v>
      </c>
      <c r="B498">
        <v>8388213835</v>
      </c>
      <c r="C498" t="s">
        <v>510</v>
      </c>
      <c r="D498" t="s">
        <v>515</v>
      </c>
      <c r="E498" s="5">
        <v>45788</v>
      </c>
      <c r="F498" t="s">
        <v>517</v>
      </c>
      <c r="G498">
        <v>46872.71</v>
      </c>
      <c r="H498">
        <v>156703.84</v>
      </c>
      <c r="I498">
        <v>9.17</v>
      </c>
      <c r="J498">
        <v>305134.06</v>
      </c>
      <c r="K498">
        <v>18</v>
      </c>
      <c r="L498">
        <v>31311.9</v>
      </c>
      <c r="M498" t="s">
        <v>519</v>
      </c>
      <c r="N498">
        <v>18</v>
      </c>
    </row>
    <row r="499" spans="1:14" x14ac:dyDescent="0.3">
      <c r="A499">
        <v>100498</v>
      </c>
      <c r="B499">
        <v>5896342357</v>
      </c>
      <c r="C499" t="s">
        <v>511</v>
      </c>
      <c r="D499" t="s">
        <v>514</v>
      </c>
      <c r="E499" s="5">
        <v>45789</v>
      </c>
      <c r="F499" t="s">
        <v>518</v>
      </c>
      <c r="G499">
        <v>3086.77</v>
      </c>
      <c r="H499">
        <v>185770.61</v>
      </c>
      <c r="I499">
        <v>5.99</v>
      </c>
      <c r="J499">
        <v>145929.20000000001</v>
      </c>
      <c r="K499">
        <v>3</v>
      </c>
      <c r="L499">
        <v>28859.06</v>
      </c>
      <c r="M499" t="s">
        <v>522</v>
      </c>
      <c r="N499">
        <v>18</v>
      </c>
    </row>
    <row r="500" spans="1:14" x14ac:dyDescent="0.3">
      <c r="A500">
        <v>100499</v>
      </c>
      <c r="B500">
        <v>2132513306</v>
      </c>
      <c r="C500" t="s">
        <v>512</v>
      </c>
      <c r="D500" t="s">
        <v>515</v>
      </c>
      <c r="E500" s="5">
        <v>45790</v>
      </c>
      <c r="F500" t="s">
        <v>518</v>
      </c>
      <c r="G500">
        <v>21230.27</v>
      </c>
      <c r="H500">
        <v>404174.23</v>
      </c>
      <c r="I500">
        <v>3.51</v>
      </c>
      <c r="J500">
        <v>209116.53</v>
      </c>
      <c r="K500">
        <v>16</v>
      </c>
      <c r="L500">
        <v>3899.68</v>
      </c>
      <c r="M500" t="s">
        <v>519</v>
      </c>
      <c r="N500">
        <v>18</v>
      </c>
    </row>
    <row r="501" spans="1:14" x14ac:dyDescent="0.3">
      <c r="A501">
        <v>100500</v>
      </c>
      <c r="B501">
        <v>2144601886</v>
      </c>
      <c r="C501" t="s">
        <v>513</v>
      </c>
      <c r="D501" t="s">
        <v>516</v>
      </c>
      <c r="E501" s="5">
        <v>45791</v>
      </c>
      <c r="F501" t="s">
        <v>517</v>
      </c>
      <c r="G501">
        <v>13377.81</v>
      </c>
      <c r="H501">
        <v>146592.34</v>
      </c>
      <c r="I501">
        <v>6.37</v>
      </c>
      <c r="J501">
        <v>189911.79</v>
      </c>
      <c r="K501">
        <v>6</v>
      </c>
      <c r="L501">
        <v>32007.33</v>
      </c>
      <c r="M501" t="s">
        <v>520</v>
      </c>
      <c r="N501">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6EF1-0B9B-4259-9AA4-0787AE409CA5}">
  <dimension ref="A1:F20"/>
  <sheetViews>
    <sheetView workbookViewId="0">
      <selection activeCell="E18" sqref="E18"/>
    </sheetView>
  </sheetViews>
  <sheetFormatPr defaultColWidth="7.109375" defaultRowHeight="14.4" x14ac:dyDescent="0.3"/>
  <cols>
    <col min="1" max="1" width="17.44140625" bestFit="1" customWidth="1"/>
    <col min="2" max="2" width="27.21875" bestFit="1" customWidth="1"/>
    <col min="3" max="3" width="14.21875" bestFit="1" customWidth="1"/>
  </cols>
  <sheetData>
    <row r="1" spans="1:6" x14ac:dyDescent="0.3">
      <c r="A1" s="10" t="s">
        <v>524</v>
      </c>
      <c r="B1" s="10" t="s">
        <v>11</v>
      </c>
      <c r="C1" s="10" t="s">
        <v>527</v>
      </c>
      <c r="D1" s="10" t="s">
        <v>525</v>
      </c>
      <c r="E1" s="11"/>
      <c r="F1" s="11"/>
    </row>
    <row r="2" spans="1:6" x14ac:dyDescent="0.3">
      <c r="A2">
        <v>1787846414</v>
      </c>
      <c r="B2">
        <f>_xlfn.XLOOKUP(A2,Cleaned!B:B,Cleaned!L:L)</f>
        <v>39299.160000000003</v>
      </c>
      <c r="C2" s="5">
        <v>45292</v>
      </c>
      <c r="D2" t="str">
        <f>TEXT(C2,"MMMM")</f>
        <v>January</v>
      </c>
    </row>
    <row r="3" spans="1:6" x14ac:dyDescent="0.3">
      <c r="A3" s="10" t="s">
        <v>527</v>
      </c>
      <c r="B3" s="10" t="s">
        <v>528</v>
      </c>
      <c r="C3" s="10" t="s">
        <v>526</v>
      </c>
    </row>
    <row r="4" spans="1:6" x14ac:dyDescent="0.3">
      <c r="A4" s="5">
        <v>45292</v>
      </c>
      <c r="B4">
        <f>VLOOKUP(A4,Cleaned!E:N, 7)</f>
        <v>3</v>
      </c>
      <c r="C4">
        <f>YEAR(EDATE(A4, B4*12))</f>
        <v>2027</v>
      </c>
    </row>
    <row r="6" spans="1:6" x14ac:dyDescent="0.3">
      <c r="A6" s="10" t="s">
        <v>529</v>
      </c>
      <c r="B6" s="10" t="s">
        <v>530</v>
      </c>
    </row>
    <row r="7" spans="1:6" x14ac:dyDescent="0.3">
      <c r="A7" t="s">
        <v>519</v>
      </c>
      <c r="B7">
        <f>SUMIF(Cleaned!M:M, A7, Cleaned!G:G)</f>
        <v>2494153.8499999992</v>
      </c>
    </row>
    <row r="8" spans="1:6" x14ac:dyDescent="0.3">
      <c r="A8" t="s">
        <v>522</v>
      </c>
      <c r="B8">
        <f>SUMIF(Cleaned!M:M, A8, Cleaned!G:G)</f>
        <v>2387668.6599999997</v>
      </c>
    </row>
    <row r="9" spans="1:6" x14ac:dyDescent="0.3">
      <c r="A9" t="s">
        <v>523</v>
      </c>
      <c r="B9">
        <f>SUMIF(Cleaned!M:M, A9, Cleaned!G:G)</f>
        <v>3041782.6799999983</v>
      </c>
    </row>
    <row r="10" spans="1:6" x14ac:dyDescent="0.3">
      <c r="A10" t="s">
        <v>521</v>
      </c>
      <c r="B10">
        <f>SUMIF(Cleaned!M:M, A10, Cleaned!G:G)</f>
        <v>2656540.1900000013</v>
      </c>
    </row>
    <row r="11" spans="1:6" x14ac:dyDescent="0.3">
      <c r="A11" t="s">
        <v>520</v>
      </c>
      <c r="B11">
        <f>SUMIF(Cleaned!M:M, A11, Cleaned!G:G)</f>
        <v>1929913.3699999999</v>
      </c>
    </row>
    <row r="13" spans="1:6" x14ac:dyDescent="0.3">
      <c r="A13" s="10" t="s">
        <v>531</v>
      </c>
      <c r="B13" s="10" t="s">
        <v>532</v>
      </c>
    </row>
    <row r="14" spans="1:6" x14ac:dyDescent="0.3">
      <c r="A14" t="s">
        <v>514</v>
      </c>
      <c r="B14">
        <f>AVERAGEIF(Cleaned!D:D,A14,Cleaned!J:J)</f>
        <v>524857.21880503139</v>
      </c>
    </row>
    <row r="15" spans="1:6" x14ac:dyDescent="0.3">
      <c r="A15" t="s">
        <v>515</v>
      </c>
      <c r="B15">
        <f>AVERAGEIF(Cleaned!D:D,A15,Cleaned!J:J)</f>
        <v>547740.37351515144</v>
      </c>
    </row>
    <row r="16" spans="1:6" x14ac:dyDescent="0.3">
      <c r="A16" t="s">
        <v>516</v>
      </c>
      <c r="B16">
        <f>AVERAGEIF(Cleaned!D:D,A16,Cleaned!J:J)</f>
        <v>498540.85278409085</v>
      </c>
    </row>
    <row r="18" spans="1:2" x14ac:dyDescent="0.3">
      <c r="A18" s="10" t="s">
        <v>533</v>
      </c>
      <c r="B18" s="10" t="s">
        <v>534</v>
      </c>
    </row>
    <row r="19" spans="1:2" x14ac:dyDescent="0.3">
      <c r="A19" t="s">
        <v>517</v>
      </c>
      <c r="B19">
        <f>COUNTIF(Cleaned!F:F,A19)</f>
        <v>246</v>
      </c>
    </row>
    <row r="20" spans="1:2" x14ac:dyDescent="0.3">
      <c r="A20" t="s">
        <v>518</v>
      </c>
      <c r="B20">
        <f>COUNTIF(Cleaned!F:F,A20)</f>
        <v>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B731-8F59-487D-BF98-8BBD6AD027E7}">
  <dimension ref="A2:I81"/>
  <sheetViews>
    <sheetView zoomScale="96" zoomScaleNormal="96" workbookViewId="0">
      <selection activeCell="A16" sqref="A16"/>
    </sheetView>
  </sheetViews>
  <sheetFormatPr defaultRowHeight="14.4" x14ac:dyDescent="0.3"/>
  <cols>
    <col min="1" max="1" width="13.109375" bestFit="1" customWidth="1"/>
    <col min="2" max="2" width="20.44140625" bestFit="1" customWidth="1"/>
    <col min="3" max="3" width="11.44140625" bestFit="1" customWidth="1"/>
    <col min="4" max="4" width="13.77734375" bestFit="1" customWidth="1"/>
    <col min="5" max="5" width="26.6640625" bestFit="1" customWidth="1"/>
    <col min="6" max="6" width="12.44140625" bestFit="1" customWidth="1"/>
    <col min="7" max="7" width="13.109375" bestFit="1" customWidth="1"/>
    <col min="8" max="8" width="20.44140625" bestFit="1" customWidth="1"/>
    <col min="9" max="9" width="36.77734375" bestFit="1" customWidth="1"/>
    <col min="10" max="10" width="19.6640625" bestFit="1" customWidth="1"/>
  </cols>
  <sheetData>
    <row r="2" spans="1:9" x14ac:dyDescent="0.3">
      <c r="A2" s="10" t="s">
        <v>556</v>
      </c>
      <c r="B2" s="11"/>
      <c r="C2" s="11"/>
      <c r="D2" s="10" t="s">
        <v>557</v>
      </c>
      <c r="E2" s="11"/>
      <c r="I2" s="4"/>
    </row>
    <row r="3" spans="1:9" x14ac:dyDescent="0.3">
      <c r="A3" s="6" t="s">
        <v>535</v>
      </c>
      <c r="B3" t="s">
        <v>537</v>
      </c>
      <c r="D3" s="6" t="s">
        <v>535</v>
      </c>
      <c r="E3" t="s">
        <v>539</v>
      </c>
    </row>
    <row r="4" spans="1:9" x14ac:dyDescent="0.3">
      <c r="A4" s="7" t="s">
        <v>522</v>
      </c>
      <c r="B4" s="12">
        <v>2387668.6599999997</v>
      </c>
      <c r="D4" s="7" t="s">
        <v>514</v>
      </c>
      <c r="E4" s="12">
        <v>83452297.789999992</v>
      </c>
    </row>
    <row r="5" spans="1:9" x14ac:dyDescent="0.3">
      <c r="A5" s="7" t="s">
        <v>523</v>
      </c>
      <c r="B5" s="12">
        <v>3041782.6799999983</v>
      </c>
      <c r="D5" s="7" t="s">
        <v>515</v>
      </c>
      <c r="E5" s="12">
        <v>90377161.629999995</v>
      </c>
    </row>
    <row r="6" spans="1:9" x14ac:dyDescent="0.3">
      <c r="A6" s="7" t="s">
        <v>521</v>
      </c>
      <c r="B6" s="12">
        <v>2656540.1900000013</v>
      </c>
      <c r="D6" s="7" t="s">
        <v>516</v>
      </c>
      <c r="E6" s="12">
        <v>87743190.089999989</v>
      </c>
    </row>
    <row r="7" spans="1:9" x14ac:dyDescent="0.3">
      <c r="A7" s="7" t="s">
        <v>519</v>
      </c>
      <c r="B7" s="12">
        <v>2494153.8499999992</v>
      </c>
      <c r="D7" s="7" t="s">
        <v>563</v>
      </c>
      <c r="E7" s="12"/>
    </row>
    <row r="8" spans="1:9" x14ac:dyDescent="0.3">
      <c r="A8" s="7" t="s">
        <v>520</v>
      </c>
      <c r="B8" s="12">
        <v>1929913.3699999999</v>
      </c>
      <c r="D8" s="7" t="s">
        <v>536</v>
      </c>
      <c r="E8" s="12">
        <v>261572649.50999999</v>
      </c>
      <c r="F8">
        <f>GETPIVOTDATA("Loan_Amount",$D$3)</f>
        <v>261572649.50999999</v>
      </c>
    </row>
    <row r="9" spans="1:9" x14ac:dyDescent="0.3">
      <c r="A9" s="7" t="s">
        <v>563</v>
      </c>
      <c r="B9" s="12"/>
    </row>
    <row r="10" spans="1:9" x14ac:dyDescent="0.3">
      <c r="A10" s="7" t="s">
        <v>536</v>
      </c>
      <c r="B10" s="12">
        <v>12510058.749999998</v>
      </c>
      <c r="C10">
        <f>GETPIVOTDATA("Transaction_Amount",$A$3)</f>
        <v>12510058.749999998</v>
      </c>
    </row>
    <row r="11" spans="1:9" x14ac:dyDescent="0.3">
      <c r="A11" s="4" t="s">
        <v>538</v>
      </c>
    </row>
    <row r="13" spans="1:9" x14ac:dyDescent="0.3">
      <c r="A13" s="10" t="s">
        <v>558</v>
      </c>
      <c r="B13" s="11"/>
      <c r="C13" s="11"/>
      <c r="D13" s="10" t="s">
        <v>559</v>
      </c>
      <c r="E13" s="11"/>
      <c r="F13" s="11"/>
    </row>
    <row r="14" spans="1:9" x14ac:dyDescent="0.3">
      <c r="A14" s="6" t="s">
        <v>535</v>
      </c>
      <c r="B14" t="s">
        <v>539</v>
      </c>
      <c r="D14" s="6" t="s">
        <v>535</v>
      </c>
      <c r="E14" t="s">
        <v>537</v>
      </c>
    </row>
    <row r="15" spans="1:9" x14ac:dyDescent="0.3">
      <c r="A15" s="7" t="s">
        <v>514</v>
      </c>
      <c r="B15" s="12">
        <v>83452297.789999992</v>
      </c>
      <c r="D15" s="7" t="s">
        <v>564</v>
      </c>
      <c r="E15" s="12"/>
    </row>
    <row r="16" spans="1:9" x14ac:dyDescent="0.3">
      <c r="A16" s="7" t="s">
        <v>515</v>
      </c>
      <c r="B16" s="12">
        <v>90377161.629999995</v>
      </c>
      <c r="D16" s="8" t="s">
        <v>564</v>
      </c>
      <c r="E16" s="12"/>
    </row>
    <row r="17" spans="1:5" x14ac:dyDescent="0.3">
      <c r="A17" s="7" t="s">
        <v>516</v>
      </c>
      <c r="B17" s="12">
        <v>87743190.089999989</v>
      </c>
      <c r="D17" s="7" t="s">
        <v>540</v>
      </c>
      <c r="E17" s="12">
        <v>9249803.1100000013</v>
      </c>
    </row>
    <row r="18" spans="1:5" x14ac:dyDescent="0.3">
      <c r="A18" s="7" t="s">
        <v>563</v>
      </c>
      <c r="B18" s="12"/>
      <c r="D18" s="8" t="s">
        <v>542</v>
      </c>
      <c r="E18" s="12">
        <v>776594.17999999993</v>
      </c>
    </row>
    <row r="19" spans="1:5" x14ac:dyDescent="0.3">
      <c r="A19" s="7" t="s">
        <v>536</v>
      </c>
      <c r="B19" s="12">
        <v>261572649.50999999</v>
      </c>
      <c r="D19" s="8" t="s">
        <v>543</v>
      </c>
      <c r="E19" s="12">
        <v>717700.55999999994</v>
      </c>
    </row>
    <row r="20" spans="1:5" x14ac:dyDescent="0.3">
      <c r="D20" s="8" t="s">
        <v>544</v>
      </c>
      <c r="E20" s="12">
        <v>733723.02000000014</v>
      </c>
    </row>
    <row r="21" spans="1:5" x14ac:dyDescent="0.3">
      <c r="A21" s="10" t="s">
        <v>560</v>
      </c>
      <c r="B21" s="11"/>
      <c r="D21" s="8" t="s">
        <v>545</v>
      </c>
      <c r="E21" s="12">
        <v>799101.53000000014</v>
      </c>
    </row>
    <row r="22" spans="1:5" x14ac:dyDescent="0.3">
      <c r="A22" s="6" t="s">
        <v>535</v>
      </c>
      <c r="B22" t="s">
        <v>554</v>
      </c>
      <c r="D22" s="8" t="s">
        <v>546</v>
      </c>
      <c r="E22" s="12">
        <v>855406.70000000007</v>
      </c>
    </row>
    <row r="23" spans="1:5" x14ac:dyDescent="0.3">
      <c r="A23" s="7">
        <v>1</v>
      </c>
      <c r="B23" s="12">
        <v>26033.913157894734</v>
      </c>
      <c r="D23" s="8" t="s">
        <v>547</v>
      </c>
      <c r="E23" s="12">
        <v>726767.88000000012</v>
      </c>
    </row>
    <row r="24" spans="1:5" x14ac:dyDescent="0.3">
      <c r="A24" s="7">
        <v>2</v>
      </c>
      <c r="B24" s="12">
        <v>22410.360526315792</v>
      </c>
      <c r="D24" s="8" t="s">
        <v>548</v>
      </c>
      <c r="E24" s="12">
        <v>709633.68000000017</v>
      </c>
    </row>
    <row r="25" spans="1:5" x14ac:dyDescent="0.3">
      <c r="A25" s="7">
        <v>3</v>
      </c>
      <c r="B25" s="12">
        <v>24043.351562499996</v>
      </c>
      <c r="D25" s="8" t="s">
        <v>549</v>
      </c>
      <c r="E25" s="12">
        <v>711441.07999999984</v>
      </c>
    </row>
    <row r="26" spans="1:5" x14ac:dyDescent="0.3">
      <c r="A26" s="7">
        <v>4</v>
      </c>
      <c r="B26" s="12">
        <v>19365.93285714286</v>
      </c>
      <c r="D26" s="8" t="s">
        <v>550</v>
      </c>
      <c r="E26" s="12">
        <v>753676.90999999992</v>
      </c>
    </row>
    <row r="27" spans="1:5" x14ac:dyDescent="0.3">
      <c r="A27" s="7">
        <v>5</v>
      </c>
      <c r="B27" s="12">
        <v>20675.220909090913</v>
      </c>
      <c r="D27" s="8" t="s">
        <v>551</v>
      </c>
      <c r="E27" s="12">
        <v>777407.35</v>
      </c>
    </row>
    <row r="28" spans="1:5" x14ac:dyDescent="0.3">
      <c r="A28" s="7">
        <v>6</v>
      </c>
      <c r="B28" s="12">
        <v>25342.913666666671</v>
      </c>
      <c r="D28" s="8" t="s">
        <v>552</v>
      </c>
      <c r="E28" s="12">
        <v>879031.24999999988</v>
      </c>
    </row>
    <row r="29" spans="1:5" x14ac:dyDescent="0.3">
      <c r="A29" s="7">
        <v>7</v>
      </c>
      <c r="B29" s="12">
        <v>24663.481052631578</v>
      </c>
      <c r="D29" s="8" t="s">
        <v>553</v>
      </c>
      <c r="E29" s="12">
        <v>809318.97</v>
      </c>
    </row>
    <row r="30" spans="1:5" x14ac:dyDescent="0.3">
      <c r="A30" s="7">
        <v>8</v>
      </c>
      <c r="B30" s="12">
        <v>23872.098205128204</v>
      </c>
      <c r="D30" s="7" t="s">
        <v>541</v>
      </c>
      <c r="E30" s="12">
        <v>3260255.6399999997</v>
      </c>
    </row>
    <row r="31" spans="1:5" x14ac:dyDescent="0.3">
      <c r="A31" s="7">
        <v>9</v>
      </c>
      <c r="B31" s="12">
        <v>26953.059047619052</v>
      </c>
      <c r="D31" s="8" t="s">
        <v>542</v>
      </c>
      <c r="E31" s="12">
        <v>790702.1399999999</v>
      </c>
    </row>
    <row r="32" spans="1:5" x14ac:dyDescent="0.3">
      <c r="A32" s="7">
        <v>10</v>
      </c>
      <c r="B32" s="12">
        <v>26777.543076923073</v>
      </c>
      <c r="D32" s="8" t="s">
        <v>543</v>
      </c>
      <c r="E32" s="12">
        <v>662747.39</v>
      </c>
    </row>
    <row r="33" spans="1:6" x14ac:dyDescent="0.3">
      <c r="A33" s="7">
        <v>11</v>
      </c>
      <c r="B33" s="12">
        <v>27341.25863636364</v>
      </c>
      <c r="D33" s="8" t="s">
        <v>544</v>
      </c>
      <c r="E33" s="12">
        <v>810932.63</v>
      </c>
    </row>
    <row r="34" spans="1:6" x14ac:dyDescent="0.3">
      <c r="A34" s="7">
        <v>12</v>
      </c>
      <c r="B34" s="12">
        <v>22600.227037037032</v>
      </c>
      <c r="D34" s="8" t="s">
        <v>545</v>
      </c>
      <c r="E34" s="12">
        <v>636751.13</v>
      </c>
    </row>
    <row r="35" spans="1:6" x14ac:dyDescent="0.3">
      <c r="A35" s="7">
        <v>13</v>
      </c>
      <c r="B35" s="12">
        <v>21844.751891891894</v>
      </c>
      <c r="D35" s="8" t="s">
        <v>546</v>
      </c>
      <c r="E35" s="12">
        <v>359122.35000000003</v>
      </c>
    </row>
    <row r="36" spans="1:6" x14ac:dyDescent="0.3">
      <c r="A36" s="7">
        <v>14</v>
      </c>
      <c r="B36" s="12">
        <v>31851.617916666666</v>
      </c>
      <c r="D36" s="7" t="s">
        <v>536</v>
      </c>
      <c r="E36" s="12">
        <v>12510058.750000004</v>
      </c>
      <c r="F36">
        <f>GETPIVOTDATA("Transaction_Amount",$D$14)</f>
        <v>12510058.750000004</v>
      </c>
    </row>
    <row r="37" spans="1:6" x14ac:dyDescent="0.3">
      <c r="A37" s="7">
        <v>15</v>
      </c>
      <c r="B37" s="12">
        <v>23642.452333333331</v>
      </c>
    </row>
    <row r="38" spans="1:6" x14ac:dyDescent="0.3">
      <c r="A38" s="7">
        <v>16</v>
      </c>
      <c r="B38" s="12">
        <v>25635.366666666665</v>
      </c>
    </row>
    <row r="39" spans="1:6" x14ac:dyDescent="0.3">
      <c r="A39" s="7">
        <v>17</v>
      </c>
      <c r="B39" s="12">
        <v>26392.651578947367</v>
      </c>
      <c r="D39" s="10" t="s">
        <v>561</v>
      </c>
      <c r="E39" s="11"/>
    </row>
    <row r="40" spans="1:6" x14ac:dyDescent="0.3">
      <c r="A40" s="7">
        <v>18</v>
      </c>
      <c r="B40" s="12">
        <v>23763.388749999998</v>
      </c>
      <c r="D40" s="6" t="s">
        <v>535</v>
      </c>
      <c r="E40" t="s">
        <v>555</v>
      </c>
    </row>
    <row r="41" spans="1:6" x14ac:dyDescent="0.3">
      <c r="A41" s="7">
        <v>19</v>
      </c>
      <c r="B41" s="12">
        <v>26639.478500000005</v>
      </c>
      <c r="D41" s="7" t="s">
        <v>517</v>
      </c>
      <c r="E41" s="12">
        <v>246</v>
      </c>
    </row>
    <row r="42" spans="1:6" x14ac:dyDescent="0.3">
      <c r="A42" s="7" t="s">
        <v>563</v>
      </c>
      <c r="B42" s="12"/>
      <c r="D42" s="7" t="s">
        <v>518</v>
      </c>
      <c r="E42" s="12">
        <v>254</v>
      </c>
    </row>
    <row r="43" spans="1:6" x14ac:dyDescent="0.3">
      <c r="A43" s="7" t="s">
        <v>536</v>
      </c>
      <c r="B43" s="12">
        <v>24684.556679999976</v>
      </c>
      <c r="D43" s="7" t="s">
        <v>563</v>
      </c>
      <c r="E43" s="12"/>
    </row>
    <row r="44" spans="1:6" x14ac:dyDescent="0.3">
      <c r="D44" s="7" t="s">
        <v>536</v>
      </c>
      <c r="E44" s="12">
        <v>500</v>
      </c>
      <c r="F44">
        <f>GETPIVOTDATA("Transaction_Type",$D$40)</f>
        <v>500</v>
      </c>
    </row>
    <row r="46" spans="1:6" x14ac:dyDescent="0.3">
      <c r="A46" s="10" t="s">
        <v>562</v>
      </c>
      <c r="B46" s="11"/>
      <c r="C46" s="11"/>
    </row>
    <row r="47" spans="1:6" x14ac:dyDescent="0.3">
      <c r="A47" s="6" t="s">
        <v>535</v>
      </c>
      <c r="B47" t="s">
        <v>537</v>
      </c>
    </row>
    <row r="48" spans="1:6" x14ac:dyDescent="0.3">
      <c r="A48" s="7" t="s">
        <v>514</v>
      </c>
      <c r="B48" s="9">
        <v>0.32060303074116248</v>
      </c>
    </row>
    <row r="49" spans="1:2" x14ac:dyDescent="0.3">
      <c r="A49" s="7" t="s">
        <v>515</v>
      </c>
      <c r="B49" s="9">
        <v>0.33956216552540169</v>
      </c>
    </row>
    <row r="50" spans="1:2" x14ac:dyDescent="0.3">
      <c r="A50" s="7" t="s">
        <v>516</v>
      </c>
      <c r="B50" s="9">
        <v>0.33983480373343583</v>
      </c>
    </row>
    <row r="51" spans="1:2" x14ac:dyDescent="0.3">
      <c r="A51" s="7" t="s">
        <v>563</v>
      </c>
      <c r="B51" s="9">
        <v>0</v>
      </c>
    </row>
    <row r="52" spans="1:2" x14ac:dyDescent="0.3">
      <c r="A52" s="7" t="s">
        <v>536</v>
      </c>
      <c r="B52" s="9">
        <v>1</v>
      </c>
    </row>
    <row r="73" spans="1:1" x14ac:dyDescent="0.3">
      <c r="A73" s="4"/>
    </row>
    <row r="81" spans="1:1" x14ac:dyDescent="0.3">
      <c r="A8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F5D0-F52C-4216-A0E7-E06AD99212BF}">
  <dimension ref="A1:V40"/>
  <sheetViews>
    <sheetView showGridLines="0" tabSelected="1" zoomScale="63" zoomScaleNormal="63" workbookViewId="0">
      <selection activeCell="Y28" sqref="Y28"/>
    </sheetView>
  </sheetViews>
  <sheetFormatPr defaultRowHeight="14.4" x14ac:dyDescent="0.3"/>
  <sheetData>
    <row r="1" spans="1:22" x14ac:dyDescent="0.3">
      <c r="A1" s="13"/>
      <c r="B1" s="13"/>
      <c r="C1" s="13"/>
      <c r="D1" s="13"/>
      <c r="E1" s="13"/>
      <c r="F1" s="13"/>
      <c r="G1" s="13"/>
      <c r="H1" s="13"/>
      <c r="I1" s="13"/>
      <c r="J1" s="13"/>
      <c r="K1" s="13"/>
      <c r="L1" s="13"/>
      <c r="M1" s="13"/>
      <c r="N1" s="13"/>
      <c r="O1" s="13"/>
      <c r="P1" s="13"/>
      <c r="Q1" s="13"/>
      <c r="R1" s="13"/>
      <c r="S1" s="13"/>
      <c r="T1" s="13"/>
      <c r="U1" s="13"/>
      <c r="V1" s="13"/>
    </row>
    <row r="2" spans="1:22" x14ac:dyDescent="0.3">
      <c r="A2" s="13"/>
      <c r="B2" s="13"/>
      <c r="C2" s="13"/>
      <c r="D2" s="13"/>
      <c r="E2" s="13"/>
      <c r="F2" s="13"/>
      <c r="G2" s="13"/>
      <c r="H2" s="13"/>
      <c r="I2" s="13"/>
      <c r="J2" s="13"/>
      <c r="K2" s="13"/>
      <c r="L2" s="13"/>
      <c r="M2" s="13"/>
      <c r="N2" s="13"/>
      <c r="O2" s="13"/>
      <c r="P2" s="13"/>
      <c r="Q2" s="13"/>
      <c r="R2" s="13"/>
      <c r="S2" s="13"/>
      <c r="T2" s="13"/>
      <c r="U2" s="13"/>
      <c r="V2" s="13"/>
    </row>
    <row r="3" spans="1:22" x14ac:dyDescent="0.3">
      <c r="A3" s="13"/>
      <c r="B3" s="13"/>
      <c r="C3" s="13"/>
      <c r="D3" s="13"/>
      <c r="E3" s="13"/>
      <c r="F3" s="13"/>
      <c r="G3" s="13"/>
      <c r="H3" s="13"/>
      <c r="I3" s="13"/>
      <c r="J3" s="13"/>
      <c r="K3" s="13"/>
      <c r="L3" s="13"/>
      <c r="M3" s="13"/>
      <c r="N3" s="13"/>
      <c r="O3" s="13"/>
      <c r="P3" s="13"/>
      <c r="Q3" s="13"/>
      <c r="R3" s="13"/>
      <c r="S3" s="13"/>
      <c r="T3" s="13"/>
      <c r="U3" s="13"/>
      <c r="V3" s="13"/>
    </row>
    <row r="4" spans="1:22" x14ac:dyDescent="0.3">
      <c r="A4" s="13"/>
      <c r="B4" s="13"/>
      <c r="C4" s="13"/>
      <c r="D4" s="13"/>
      <c r="E4" s="13"/>
      <c r="F4" s="13"/>
      <c r="G4" s="13"/>
      <c r="H4" s="13"/>
      <c r="I4" s="13"/>
      <c r="J4" s="13"/>
      <c r="K4" s="13"/>
      <c r="L4" s="13"/>
      <c r="M4" s="13"/>
      <c r="N4" s="13"/>
      <c r="O4" s="13"/>
      <c r="P4" s="13"/>
      <c r="Q4" s="13"/>
      <c r="R4" s="13"/>
      <c r="S4" s="13"/>
      <c r="T4" s="13"/>
      <c r="U4" s="13"/>
      <c r="V4" s="13"/>
    </row>
    <row r="5" spans="1:22" x14ac:dyDescent="0.3">
      <c r="A5" s="13"/>
      <c r="B5" s="13"/>
      <c r="C5" s="13"/>
      <c r="D5" s="13"/>
      <c r="E5" s="13"/>
      <c r="F5" s="13"/>
      <c r="G5" s="13"/>
      <c r="H5" s="13"/>
      <c r="I5" s="13"/>
      <c r="J5" s="13"/>
      <c r="K5" s="13"/>
      <c r="L5" s="13"/>
      <c r="M5" s="13"/>
      <c r="N5" s="13"/>
      <c r="O5" s="13"/>
      <c r="P5" s="13"/>
      <c r="Q5" s="13"/>
      <c r="R5" s="13"/>
      <c r="S5" s="13"/>
      <c r="T5" s="13"/>
      <c r="U5" s="13"/>
      <c r="V5" s="13"/>
    </row>
    <row r="6" spans="1:22" x14ac:dyDescent="0.3">
      <c r="A6" s="13"/>
      <c r="B6" s="13"/>
      <c r="C6" s="13"/>
      <c r="D6" s="13"/>
      <c r="E6" s="13"/>
      <c r="F6" s="13"/>
      <c r="G6" s="13"/>
      <c r="H6" s="13"/>
      <c r="I6" s="13"/>
      <c r="J6" s="13"/>
      <c r="K6" s="13"/>
      <c r="L6" s="13"/>
      <c r="M6" s="13"/>
      <c r="N6" s="13"/>
      <c r="O6" s="13"/>
      <c r="P6" s="13"/>
      <c r="Q6" s="13"/>
      <c r="R6" s="13"/>
      <c r="S6" s="13"/>
      <c r="T6" s="13"/>
      <c r="U6" s="13"/>
      <c r="V6" s="13"/>
    </row>
    <row r="7" spans="1:22" x14ac:dyDescent="0.3">
      <c r="A7" s="13"/>
      <c r="B7" s="13"/>
      <c r="C7" s="13"/>
      <c r="D7" s="13"/>
      <c r="E7" s="13"/>
      <c r="F7" s="13"/>
      <c r="G7" s="13"/>
      <c r="H7" s="13"/>
      <c r="I7" s="13"/>
      <c r="J7" s="13"/>
      <c r="K7" s="13"/>
      <c r="L7" s="13"/>
      <c r="M7" s="13"/>
      <c r="N7" s="13"/>
      <c r="O7" s="13"/>
      <c r="P7" s="13"/>
      <c r="Q7" s="13"/>
      <c r="R7" s="13"/>
      <c r="S7" s="13"/>
      <c r="T7" s="13"/>
      <c r="U7" s="13"/>
      <c r="V7" s="13"/>
    </row>
    <row r="8" spans="1:22" x14ac:dyDescent="0.3">
      <c r="A8" s="13"/>
      <c r="B8" s="13"/>
      <c r="C8" s="13"/>
      <c r="D8" s="13"/>
      <c r="E8" s="13"/>
      <c r="F8" s="13"/>
      <c r="G8" s="13"/>
      <c r="H8" s="13"/>
      <c r="I8" s="13"/>
      <c r="J8" s="13"/>
      <c r="K8" s="13"/>
      <c r="L8" s="13"/>
      <c r="M8" s="13"/>
      <c r="N8" s="13"/>
      <c r="O8" s="13"/>
      <c r="P8" s="13"/>
      <c r="Q8" s="13"/>
      <c r="R8" s="13"/>
      <c r="S8" s="13"/>
      <c r="T8" s="13"/>
      <c r="U8" s="13"/>
      <c r="V8" s="13"/>
    </row>
    <row r="9" spans="1:22" x14ac:dyDescent="0.3">
      <c r="A9" s="13"/>
      <c r="B9" s="13"/>
      <c r="C9" s="13"/>
      <c r="D9" s="13"/>
      <c r="E9" s="13"/>
      <c r="F9" s="13"/>
      <c r="G9" s="13"/>
      <c r="H9" s="13"/>
      <c r="I9" s="13"/>
      <c r="J9" s="13"/>
      <c r="K9" s="13"/>
      <c r="L9" s="13"/>
      <c r="M9" s="13"/>
      <c r="N9" s="13"/>
      <c r="O9" s="13"/>
      <c r="P9" s="13"/>
      <c r="Q9" s="13"/>
      <c r="R9" s="13"/>
      <c r="S9" s="13"/>
      <c r="T9" s="13"/>
      <c r="U9" s="13"/>
      <c r="V9" s="13"/>
    </row>
    <row r="10" spans="1:22" x14ac:dyDescent="0.3">
      <c r="A10" s="13"/>
      <c r="B10" s="13"/>
      <c r="C10" s="13"/>
      <c r="D10" s="13"/>
      <c r="E10" s="13"/>
      <c r="F10" s="13"/>
      <c r="G10" s="13"/>
      <c r="H10" s="13"/>
      <c r="I10" s="13"/>
      <c r="J10" s="13"/>
      <c r="K10" s="13"/>
      <c r="L10" s="13"/>
      <c r="M10" s="13"/>
      <c r="N10" s="13"/>
      <c r="O10" s="13"/>
      <c r="P10" s="13"/>
      <c r="Q10" s="13"/>
      <c r="R10" s="13"/>
      <c r="S10" s="13"/>
      <c r="T10" s="13"/>
      <c r="U10" s="13"/>
      <c r="V10" s="13"/>
    </row>
    <row r="11" spans="1:22" x14ac:dyDescent="0.3">
      <c r="A11" s="13"/>
      <c r="B11" s="13"/>
      <c r="C11" s="13"/>
      <c r="D11" s="13"/>
      <c r="E11" s="13"/>
      <c r="F11" s="13"/>
      <c r="G11" s="13"/>
      <c r="H11" s="13"/>
      <c r="I11" s="13"/>
      <c r="J11" s="13"/>
      <c r="K11" s="13"/>
      <c r="L11" s="13"/>
      <c r="M11" s="13"/>
      <c r="N11" s="13"/>
      <c r="O11" s="13"/>
      <c r="P11" s="13"/>
      <c r="Q11" s="13"/>
      <c r="R11" s="13"/>
      <c r="S11" s="13"/>
      <c r="T11" s="13"/>
      <c r="U11" s="13"/>
      <c r="V11" s="13"/>
    </row>
    <row r="12" spans="1:22" x14ac:dyDescent="0.3">
      <c r="A12" s="13"/>
      <c r="B12" s="13"/>
      <c r="C12" s="13"/>
      <c r="D12" s="13"/>
      <c r="E12" s="13"/>
      <c r="F12" s="13"/>
      <c r="G12" s="13"/>
      <c r="H12" s="13"/>
      <c r="I12" s="13"/>
      <c r="J12" s="13"/>
      <c r="K12" s="13"/>
      <c r="L12" s="13"/>
      <c r="M12" s="13"/>
      <c r="N12" s="13"/>
      <c r="O12" s="13"/>
      <c r="P12" s="13"/>
      <c r="Q12" s="13"/>
      <c r="R12" s="13"/>
      <c r="S12" s="13"/>
      <c r="T12" s="13"/>
      <c r="U12" s="13"/>
      <c r="V12" s="13"/>
    </row>
    <row r="13" spans="1:22" x14ac:dyDescent="0.3">
      <c r="A13" s="13"/>
      <c r="B13" s="13"/>
      <c r="C13" s="13"/>
      <c r="D13" s="13"/>
      <c r="E13" s="13"/>
      <c r="F13" s="13"/>
      <c r="G13" s="13"/>
      <c r="H13" s="13"/>
      <c r="I13" s="13"/>
      <c r="J13" s="13"/>
      <c r="K13" s="13"/>
      <c r="L13" s="13"/>
      <c r="M13" s="13"/>
      <c r="N13" s="13"/>
      <c r="O13" s="13"/>
      <c r="P13" s="13"/>
      <c r="Q13" s="13"/>
      <c r="R13" s="13"/>
      <c r="S13" s="13"/>
      <c r="T13" s="13"/>
      <c r="U13" s="13"/>
      <c r="V13" s="13"/>
    </row>
    <row r="14" spans="1:22" x14ac:dyDescent="0.3">
      <c r="A14" s="13"/>
      <c r="B14" s="13"/>
      <c r="C14" s="13"/>
      <c r="D14" s="13"/>
      <c r="E14" s="13"/>
      <c r="F14" s="13"/>
      <c r="G14" s="13"/>
      <c r="H14" s="13"/>
      <c r="I14" s="13"/>
      <c r="J14" s="13"/>
      <c r="K14" s="13"/>
      <c r="L14" s="13"/>
      <c r="M14" s="13"/>
      <c r="N14" s="13"/>
      <c r="O14" s="13"/>
      <c r="P14" s="13"/>
      <c r="Q14" s="13"/>
      <c r="R14" s="13"/>
      <c r="S14" s="13"/>
      <c r="T14" s="13"/>
      <c r="U14" s="13"/>
      <c r="V14" s="13"/>
    </row>
    <row r="15" spans="1:22" x14ac:dyDescent="0.3">
      <c r="A15" s="13"/>
      <c r="B15" s="13"/>
      <c r="C15" s="13"/>
      <c r="D15" s="13"/>
      <c r="E15" s="13"/>
      <c r="F15" s="13"/>
      <c r="G15" s="13"/>
      <c r="H15" s="13"/>
      <c r="I15" s="13"/>
      <c r="J15" s="13"/>
      <c r="K15" s="13"/>
      <c r="L15" s="13"/>
      <c r="M15" s="13"/>
      <c r="N15" s="13"/>
      <c r="O15" s="13"/>
      <c r="P15" s="13"/>
      <c r="Q15" s="13"/>
      <c r="R15" s="13"/>
      <c r="S15" s="13"/>
      <c r="T15" s="13"/>
      <c r="U15" s="13"/>
      <c r="V15" s="13"/>
    </row>
    <row r="16" spans="1:22" x14ac:dyDescent="0.3">
      <c r="A16" s="13"/>
      <c r="B16" s="13"/>
      <c r="C16" s="13"/>
      <c r="D16" s="13"/>
      <c r="E16" s="13"/>
      <c r="F16" s="13"/>
      <c r="G16" s="13"/>
      <c r="H16" s="13"/>
      <c r="I16" s="13"/>
      <c r="J16" s="13"/>
      <c r="K16" s="13"/>
      <c r="L16" s="13"/>
      <c r="M16" s="13"/>
      <c r="N16" s="13"/>
      <c r="O16" s="13"/>
      <c r="P16" s="13"/>
      <c r="Q16" s="13"/>
      <c r="R16" s="13"/>
      <c r="S16" s="13"/>
      <c r="T16" s="13"/>
      <c r="U16" s="13"/>
      <c r="V16" s="13"/>
    </row>
    <row r="17" spans="1:22" x14ac:dyDescent="0.3">
      <c r="A17" s="13"/>
      <c r="B17" s="13"/>
      <c r="C17" s="13"/>
      <c r="D17" s="13"/>
      <c r="E17" s="13"/>
      <c r="F17" s="13"/>
      <c r="G17" s="13"/>
      <c r="H17" s="13"/>
      <c r="I17" s="13"/>
      <c r="J17" s="13"/>
      <c r="K17" s="13"/>
      <c r="L17" s="13"/>
      <c r="M17" s="13"/>
      <c r="N17" s="13"/>
      <c r="O17" s="13"/>
      <c r="P17" s="13"/>
      <c r="Q17" s="13"/>
      <c r="R17" s="13"/>
      <c r="S17" s="13"/>
      <c r="T17" s="13"/>
      <c r="U17" s="13"/>
      <c r="V17" s="13"/>
    </row>
    <row r="18" spans="1:22" x14ac:dyDescent="0.3">
      <c r="A18" s="13"/>
      <c r="B18" s="13"/>
      <c r="C18" s="13"/>
      <c r="D18" s="13"/>
      <c r="E18" s="13"/>
      <c r="F18" s="13"/>
      <c r="G18" s="13"/>
      <c r="H18" s="13"/>
      <c r="I18" s="13"/>
      <c r="J18" s="13"/>
      <c r="K18" s="13"/>
      <c r="L18" s="13"/>
      <c r="M18" s="13"/>
      <c r="N18" s="13"/>
      <c r="O18" s="13"/>
      <c r="P18" s="13"/>
      <c r="Q18" s="13"/>
      <c r="R18" s="13"/>
      <c r="S18" s="13"/>
      <c r="T18" s="13"/>
      <c r="U18" s="13"/>
      <c r="V18" s="13"/>
    </row>
    <row r="19" spans="1:22" x14ac:dyDescent="0.3">
      <c r="A19" s="13"/>
      <c r="B19" s="13"/>
      <c r="C19" s="13"/>
      <c r="D19" s="13"/>
      <c r="E19" s="13"/>
      <c r="F19" s="13"/>
      <c r="G19" s="13"/>
      <c r="H19" s="13"/>
      <c r="I19" s="13"/>
      <c r="J19" s="13"/>
      <c r="K19" s="13"/>
      <c r="L19" s="13"/>
      <c r="M19" s="13"/>
      <c r="N19" s="13"/>
      <c r="O19" s="13"/>
      <c r="P19" s="13"/>
      <c r="Q19" s="13"/>
      <c r="R19" s="13"/>
      <c r="S19" s="13"/>
      <c r="T19" s="13"/>
      <c r="U19" s="13"/>
      <c r="V19" s="13"/>
    </row>
    <row r="20" spans="1:22" x14ac:dyDescent="0.3">
      <c r="A20" s="13"/>
      <c r="B20" s="13"/>
      <c r="C20" s="13"/>
      <c r="D20" s="13"/>
      <c r="E20" s="13"/>
      <c r="F20" s="13"/>
      <c r="G20" s="13"/>
      <c r="H20" s="13"/>
      <c r="I20" s="13"/>
      <c r="J20" s="13"/>
      <c r="K20" s="13"/>
      <c r="L20" s="13"/>
      <c r="M20" s="13"/>
      <c r="N20" s="13"/>
      <c r="O20" s="13"/>
      <c r="P20" s="13"/>
      <c r="Q20" s="13"/>
      <c r="R20" s="13"/>
      <c r="S20" s="13"/>
      <c r="T20" s="13"/>
      <c r="U20" s="13"/>
      <c r="V20" s="13"/>
    </row>
    <row r="21" spans="1:22" x14ac:dyDescent="0.3">
      <c r="A21" s="13"/>
      <c r="B21" s="13"/>
      <c r="C21" s="13"/>
      <c r="D21" s="13"/>
      <c r="E21" s="13"/>
      <c r="F21" s="13"/>
      <c r="G21" s="13"/>
      <c r="H21" s="13"/>
      <c r="I21" s="13"/>
      <c r="J21" s="13"/>
      <c r="K21" s="13"/>
      <c r="L21" s="13"/>
      <c r="M21" s="13"/>
      <c r="N21" s="13"/>
      <c r="O21" s="13"/>
      <c r="P21" s="13"/>
      <c r="Q21" s="13"/>
      <c r="R21" s="13"/>
      <c r="S21" s="13"/>
      <c r="T21" s="13"/>
      <c r="U21" s="13"/>
      <c r="V21" s="13"/>
    </row>
    <row r="22" spans="1:22" x14ac:dyDescent="0.3">
      <c r="A22" s="13"/>
      <c r="B22" s="13"/>
      <c r="C22" s="13"/>
      <c r="D22" s="13"/>
      <c r="E22" s="13"/>
      <c r="F22" s="13"/>
      <c r="G22" s="13"/>
      <c r="H22" s="13"/>
      <c r="I22" s="13"/>
      <c r="J22" s="13"/>
      <c r="K22" s="13"/>
      <c r="L22" s="13"/>
      <c r="M22" s="13"/>
      <c r="N22" s="13"/>
      <c r="O22" s="13"/>
      <c r="P22" s="13"/>
      <c r="Q22" s="13"/>
      <c r="R22" s="13"/>
      <c r="S22" s="13"/>
      <c r="T22" s="13"/>
      <c r="U22" s="13"/>
      <c r="V22" s="13"/>
    </row>
    <row r="23" spans="1:22" x14ac:dyDescent="0.3">
      <c r="A23" s="13"/>
      <c r="B23" s="13"/>
      <c r="C23" s="13"/>
      <c r="D23" s="13"/>
      <c r="E23" s="13"/>
      <c r="F23" s="13"/>
      <c r="G23" s="13"/>
      <c r="H23" s="13"/>
      <c r="I23" s="13"/>
      <c r="J23" s="13"/>
      <c r="K23" s="13"/>
      <c r="L23" s="13"/>
      <c r="M23" s="13"/>
      <c r="N23" s="13"/>
      <c r="O23" s="13"/>
      <c r="P23" s="13"/>
      <c r="Q23" s="13"/>
      <c r="R23" s="13"/>
      <c r="S23" s="13"/>
      <c r="T23" s="13"/>
      <c r="U23" s="13"/>
      <c r="V23" s="13"/>
    </row>
    <row r="24" spans="1:22" x14ac:dyDescent="0.3">
      <c r="A24" s="13"/>
      <c r="B24" s="13"/>
      <c r="C24" s="13"/>
      <c r="D24" s="13"/>
      <c r="E24" s="13"/>
      <c r="F24" s="13"/>
      <c r="G24" s="13"/>
      <c r="H24" s="13"/>
      <c r="I24" s="13"/>
      <c r="J24" s="13"/>
      <c r="K24" s="13"/>
      <c r="L24" s="13"/>
      <c r="M24" s="13"/>
      <c r="N24" s="13"/>
      <c r="O24" s="13"/>
      <c r="P24" s="13"/>
      <c r="Q24" s="13"/>
      <c r="R24" s="13"/>
      <c r="S24" s="13"/>
      <c r="T24" s="13"/>
      <c r="U24" s="13"/>
      <c r="V24" s="13"/>
    </row>
    <row r="25" spans="1:22" x14ac:dyDescent="0.3">
      <c r="A25" s="13"/>
      <c r="B25" s="13"/>
      <c r="C25" s="13"/>
      <c r="D25" s="13"/>
      <c r="E25" s="13"/>
      <c r="F25" s="13"/>
      <c r="G25" s="13"/>
      <c r="H25" s="13"/>
      <c r="I25" s="13"/>
      <c r="J25" s="13"/>
      <c r="K25" s="13"/>
      <c r="L25" s="13"/>
      <c r="M25" s="13"/>
      <c r="N25" s="13"/>
      <c r="O25" s="13"/>
      <c r="P25" s="13"/>
      <c r="Q25" s="13"/>
      <c r="R25" s="13"/>
      <c r="S25" s="13"/>
      <c r="T25" s="13"/>
      <c r="U25" s="13"/>
      <c r="V25" s="13"/>
    </row>
    <row r="26" spans="1:22" x14ac:dyDescent="0.3">
      <c r="A26" s="13"/>
      <c r="B26" s="13"/>
      <c r="C26" s="13"/>
      <c r="D26" s="13"/>
      <c r="E26" s="13"/>
      <c r="F26" s="13"/>
      <c r="G26" s="13"/>
      <c r="H26" s="13"/>
      <c r="I26" s="13"/>
      <c r="J26" s="13"/>
      <c r="K26" s="13"/>
      <c r="L26" s="13"/>
      <c r="M26" s="13"/>
      <c r="N26" s="13"/>
      <c r="O26" s="13"/>
      <c r="P26" s="13"/>
      <c r="Q26" s="13"/>
      <c r="R26" s="13"/>
      <c r="S26" s="13"/>
      <c r="T26" s="13"/>
      <c r="U26" s="13"/>
      <c r="V26" s="13"/>
    </row>
    <row r="27" spans="1:22" x14ac:dyDescent="0.3">
      <c r="A27" s="13"/>
      <c r="B27" s="13"/>
      <c r="C27" s="13"/>
      <c r="D27" s="13"/>
      <c r="E27" s="13"/>
      <c r="F27" s="13"/>
      <c r="G27" s="13"/>
      <c r="H27" s="13"/>
      <c r="I27" s="13"/>
      <c r="J27" s="13"/>
      <c r="K27" s="13"/>
      <c r="L27" s="13"/>
      <c r="M27" s="13"/>
      <c r="N27" s="13"/>
      <c r="O27" s="13"/>
      <c r="P27" s="13"/>
      <c r="Q27" s="13"/>
      <c r="R27" s="13"/>
      <c r="S27" s="13"/>
      <c r="T27" s="13"/>
      <c r="U27" s="13"/>
      <c r="V27" s="13"/>
    </row>
    <row r="28" spans="1:22" x14ac:dyDescent="0.3">
      <c r="A28" s="13"/>
      <c r="B28" s="13"/>
      <c r="C28" s="13"/>
      <c r="D28" s="13"/>
      <c r="E28" s="13"/>
      <c r="F28" s="13"/>
      <c r="G28" s="13"/>
      <c r="H28" s="13"/>
      <c r="I28" s="13"/>
      <c r="J28" s="13"/>
      <c r="K28" s="13"/>
      <c r="L28" s="13"/>
      <c r="M28" s="13"/>
      <c r="N28" s="13"/>
      <c r="O28" s="13"/>
      <c r="P28" s="13"/>
      <c r="Q28" s="13"/>
      <c r="R28" s="13"/>
      <c r="S28" s="13"/>
      <c r="T28" s="13"/>
      <c r="U28" s="13"/>
      <c r="V28" s="13"/>
    </row>
    <row r="29" spans="1:22" x14ac:dyDescent="0.3">
      <c r="A29" s="13"/>
      <c r="B29" s="13"/>
      <c r="C29" s="13"/>
      <c r="D29" s="13"/>
      <c r="E29" s="13"/>
      <c r="F29" s="13"/>
      <c r="G29" s="13"/>
      <c r="H29" s="13"/>
      <c r="I29" s="13"/>
      <c r="J29" s="13"/>
      <c r="K29" s="13"/>
      <c r="L29" s="13"/>
      <c r="M29" s="13"/>
      <c r="N29" s="13"/>
      <c r="O29" s="13"/>
      <c r="P29" s="13"/>
      <c r="Q29" s="13"/>
      <c r="R29" s="13"/>
      <c r="T29" s="13"/>
      <c r="U29" s="13"/>
      <c r="V29" s="13"/>
    </row>
    <row r="30" spans="1:22" x14ac:dyDescent="0.3">
      <c r="A30" s="13"/>
      <c r="B30" s="13"/>
      <c r="C30" s="13"/>
      <c r="D30" s="13"/>
      <c r="E30" s="13"/>
      <c r="F30" s="13"/>
      <c r="G30" s="13"/>
      <c r="H30" s="13"/>
      <c r="I30" s="13"/>
      <c r="J30" s="13"/>
      <c r="K30" s="13"/>
      <c r="L30" s="13"/>
      <c r="M30" s="13"/>
      <c r="N30" s="13"/>
      <c r="O30" s="13"/>
      <c r="P30" s="13"/>
      <c r="Q30" s="13"/>
      <c r="R30" s="13"/>
      <c r="S30" s="13"/>
      <c r="T30" s="13"/>
      <c r="U30" s="13"/>
      <c r="V30" s="13"/>
    </row>
    <row r="31" spans="1:22" x14ac:dyDescent="0.3">
      <c r="A31" s="13"/>
      <c r="B31" s="13"/>
      <c r="C31" s="13"/>
      <c r="D31" s="13"/>
      <c r="E31" s="13"/>
      <c r="F31" s="13"/>
      <c r="G31" s="13"/>
      <c r="H31" s="13"/>
      <c r="I31" s="13"/>
      <c r="J31" s="13"/>
      <c r="K31" s="13"/>
      <c r="L31" s="13"/>
      <c r="M31" s="13"/>
      <c r="N31" s="13"/>
      <c r="O31" s="13"/>
      <c r="P31" s="13"/>
      <c r="Q31" s="13"/>
      <c r="R31" s="13"/>
      <c r="S31" s="13"/>
      <c r="T31" s="13"/>
      <c r="U31" s="13"/>
      <c r="V31" s="13"/>
    </row>
    <row r="32" spans="1:22" x14ac:dyDescent="0.3">
      <c r="A32" s="13"/>
      <c r="B32" s="13"/>
      <c r="C32" s="13"/>
      <c r="D32" s="13"/>
      <c r="E32" s="13"/>
      <c r="F32" s="13"/>
      <c r="G32" s="13"/>
      <c r="H32" s="13"/>
      <c r="I32" s="13"/>
      <c r="J32" s="13"/>
      <c r="K32" s="13"/>
      <c r="L32" s="13"/>
      <c r="M32" s="13"/>
      <c r="N32" s="13"/>
      <c r="O32" s="13"/>
      <c r="P32" s="13"/>
      <c r="Q32" s="13"/>
      <c r="R32" s="13"/>
      <c r="S32" s="13"/>
      <c r="T32" s="13"/>
      <c r="U32" s="13"/>
      <c r="V32" s="13"/>
    </row>
    <row r="33" spans="1:22" x14ac:dyDescent="0.3">
      <c r="A33" s="13"/>
      <c r="B33" s="13"/>
      <c r="C33" s="13"/>
      <c r="D33" s="13"/>
      <c r="E33" s="13"/>
      <c r="F33" s="13"/>
      <c r="G33" s="13"/>
      <c r="H33" s="13"/>
      <c r="I33" s="13"/>
      <c r="J33" s="13"/>
      <c r="K33" s="13"/>
      <c r="L33" s="13"/>
      <c r="M33" s="13"/>
      <c r="N33" s="13"/>
      <c r="O33" s="13"/>
      <c r="P33" s="13"/>
      <c r="Q33" s="13"/>
      <c r="R33" s="13"/>
      <c r="S33" s="13"/>
      <c r="T33" s="13"/>
      <c r="U33" s="13"/>
      <c r="V33" s="13"/>
    </row>
    <row r="34" spans="1:22" x14ac:dyDescent="0.3">
      <c r="A34" s="13"/>
      <c r="B34" s="13"/>
      <c r="C34" s="13"/>
      <c r="D34" s="13"/>
      <c r="E34" s="13"/>
      <c r="F34" s="13"/>
      <c r="G34" s="13"/>
      <c r="H34" s="13"/>
      <c r="I34" s="13"/>
      <c r="J34" s="13"/>
      <c r="K34" s="13"/>
      <c r="L34" s="13"/>
      <c r="M34" s="13"/>
      <c r="N34" s="13"/>
      <c r="O34" s="13"/>
      <c r="P34" s="13"/>
      <c r="Q34" s="13"/>
      <c r="R34" s="13"/>
      <c r="S34" s="13"/>
      <c r="T34" s="13"/>
      <c r="U34" s="13"/>
      <c r="V34" s="13"/>
    </row>
    <row r="35" spans="1:22" x14ac:dyDescent="0.3">
      <c r="A35" s="13"/>
      <c r="B35" s="13"/>
      <c r="C35" s="13"/>
      <c r="D35" s="13"/>
      <c r="E35" s="13"/>
      <c r="F35" s="13"/>
      <c r="G35" s="13"/>
      <c r="H35" s="13"/>
      <c r="I35" s="13"/>
      <c r="J35" s="13"/>
      <c r="K35" s="13"/>
      <c r="L35" s="13"/>
      <c r="M35" s="13"/>
      <c r="N35" s="13"/>
      <c r="O35" s="13"/>
      <c r="P35" s="13"/>
      <c r="Q35" s="13"/>
      <c r="R35" s="13"/>
      <c r="S35" s="13"/>
      <c r="T35" s="13"/>
      <c r="U35" s="13"/>
      <c r="V35" s="13"/>
    </row>
    <row r="36" spans="1:22" x14ac:dyDescent="0.3">
      <c r="A36" s="13"/>
      <c r="B36" s="13"/>
      <c r="C36" s="13"/>
      <c r="D36" s="13"/>
      <c r="E36" s="13"/>
      <c r="F36" s="13"/>
      <c r="G36" s="13"/>
      <c r="H36" s="13"/>
      <c r="I36" s="13"/>
      <c r="J36" s="13"/>
      <c r="K36" s="13"/>
      <c r="L36" s="13"/>
      <c r="M36" s="13"/>
      <c r="N36" s="13"/>
      <c r="O36" s="13"/>
      <c r="P36" s="13"/>
      <c r="Q36" s="13"/>
      <c r="R36" s="13"/>
      <c r="S36" s="13"/>
      <c r="T36" s="13"/>
      <c r="U36" s="13"/>
      <c r="V36" s="13"/>
    </row>
    <row r="37" spans="1:22" x14ac:dyDescent="0.3">
      <c r="A37" s="13"/>
      <c r="B37" s="13"/>
      <c r="C37" s="13"/>
      <c r="D37" s="13"/>
      <c r="E37" s="13"/>
      <c r="F37" s="13"/>
      <c r="G37" s="13"/>
      <c r="H37" s="13"/>
      <c r="I37" s="13"/>
      <c r="J37" s="13"/>
      <c r="K37" s="13"/>
      <c r="L37" s="13"/>
      <c r="M37" s="13"/>
      <c r="N37" s="13"/>
      <c r="O37" s="13"/>
      <c r="P37" s="13"/>
      <c r="Q37" s="13"/>
      <c r="R37" s="13"/>
      <c r="S37" s="13"/>
      <c r="T37" s="13"/>
      <c r="U37" s="13"/>
      <c r="V37" s="13"/>
    </row>
    <row r="38" spans="1:22" x14ac:dyDescent="0.3">
      <c r="A38" s="13"/>
      <c r="B38" s="13"/>
      <c r="C38" s="13"/>
      <c r="D38" s="13"/>
      <c r="E38" s="13"/>
      <c r="F38" s="13"/>
      <c r="G38" s="13"/>
      <c r="H38" s="13"/>
      <c r="I38" s="13"/>
      <c r="J38" s="13"/>
      <c r="K38" s="13"/>
      <c r="L38" s="13"/>
      <c r="M38" s="13"/>
      <c r="N38" s="13"/>
      <c r="O38" s="13"/>
      <c r="P38" s="13"/>
      <c r="Q38" s="13"/>
      <c r="R38" s="13"/>
      <c r="S38" s="13"/>
      <c r="T38" s="13"/>
      <c r="U38" s="13"/>
      <c r="V38" s="13"/>
    </row>
    <row r="39" spans="1:22" x14ac:dyDescent="0.3">
      <c r="A39" s="13"/>
      <c r="B39" s="13"/>
      <c r="C39" s="13"/>
      <c r="D39" s="13"/>
      <c r="E39" s="13"/>
      <c r="F39" s="13"/>
      <c r="G39" s="13"/>
      <c r="H39" s="13"/>
      <c r="I39" s="13"/>
      <c r="J39" s="13"/>
      <c r="K39" s="13"/>
      <c r="L39" s="13"/>
      <c r="M39" s="13"/>
      <c r="N39" s="13"/>
      <c r="O39" s="13"/>
      <c r="P39" s="13"/>
      <c r="Q39" s="13"/>
      <c r="R39" s="13"/>
      <c r="S39" s="13"/>
      <c r="T39" s="13"/>
      <c r="U39" s="13"/>
      <c r="V39" s="13"/>
    </row>
    <row r="40" spans="1:22" x14ac:dyDescent="0.3">
      <c r="A40" s="13"/>
      <c r="B40" s="13"/>
      <c r="C40" s="13"/>
      <c r="D40" s="13"/>
      <c r="E40" s="13"/>
      <c r="F40" s="13"/>
      <c r="G40" s="13"/>
      <c r="H40" s="13"/>
      <c r="I40" s="13"/>
      <c r="J40" s="13"/>
      <c r="K40" s="13"/>
      <c r="L40" s="13"/>
      <c r="M40" s="13"/>
      <c r="N40" s="13"/>
      <c r="O40" s="13"/>
      <c r="P40" s="13"/>
      <c r="Q40" s="13"/>
      <c r="R40" s="13"/>
      <c r="S40" s="13"/>
      <c r="T40" s="13"/>
      <c r="U40" s="13"/>
      <c r="V4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Cleaned</vt:lpstr>
      <vt:lpstr>Functions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BALARAMAN P</dc:creator>
  <cp:lastModifiedBy>swethaganes29@gmail.com</cp:lastModifiedBy>
  <dcterms:created xsi:type="dcterms:W3CDTF">2026-01-29T06:45:46Z</dcterms:created>
  <dcterms:modified xsi:type="dcterms:W3CDTF">2026-02-05T14:46:54Z</dcterms:modified>
</cp:coreProperties>
</file>